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non\Documents\pvrp\src\similarity_optimizer_test\"/>
    </mc:Choice>
  </mc:AlternateContent>
  <xr:revisionPtr revIDLastSave="0" documentId="13_ncr:1_{3268C698-B9BF-4CEA-8E08-A2A684117A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pt" sheetId="1" r:id="rId1"/>
    <sheet name="star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2" l="1"/>
  <c r="R46" i="2"/>
  <c r="L47" i="2"/>
  <c r="L46" i="2"/>
  <c r="F47" i="2"/>
  <c r="F46" i="2"/>
  <c r="R38" i="1"/>
  <c r="R37" i="1"/>
  <c r="L38" i="1"/>
  <c r="L37" i="1"/>
  <c r="F38" i="1"/>
  <c r="F37" i="1"/>
  <c r="R36" i="1"/>
  <c r="P36" i="1"/>
  <c r="N36" i="1"/>
  <c r="J36" i="1"/>
  <c r="D36" i="1"/>
  <c r="N45" i="2"/>
  <c r="R49" i="2" s="1"/>
  <c r="P45" i="2"/>
  <c r="J45" i="2"/>
  <c r="D45" i="2"/>
  <c r="B45" i="2"/>
  <c r="H45" i="2"/>
  <c r="R45" i="2"/>
  <c r="F45" i="2"/>
  <c r="L45" i="2"/>
  <c r="H36" i="1"/>
  <c r="B36" i="1"/>
  <c r="L36" i="1"/>
  <c r="F36" i="1"/>
  <c r="F49" i="2" l="1"/>
  <c r="F40" i="1"/>
  <c r="L40" i="1"/>
  <c r="R40" i="1"/>
  <c r="L49" i="2"/>
</calcChain>
</file>

<file path=xl/sharedStrings.xml><?xml version="1.0" encoding="utf-8"?>
<sst xmlns="http://schemas.openxmlformats.org/spreadsheetml/2006/main" count="79" uniqueCount="15">
  <si>
    <t>vehicle 1</t>
  </si>
  <si>
    <t>ID Client</t>
  </si>
  <si>
    <t>Ripetitions</t>
  </si>
  <si>
    <t>vehicle 2</t>
  </si>
  <si>
    <t>vehicle 3</t>
  </si>
  <si>
    <t>opt_base</t>
  </si>
  <si>
    <t>opt_new</t>
  </si>
  <si>
    <t>changes</t>
  </si>
  <si>
    <t>starting_base</t>
  </si>
  <si>
    <t>starting_new</t>
  </si>
  <si>
    <t>0.63333333</t>
  </si>
  <si>
    <t>total</t>
  </si>
  <si>
    <t>lost</t>
  </si>
  <si>
    <t>added</t>
  </si>
  <si>
    <t>sim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</si>
</sst>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5" fillId="0" borderId="0" xfId="0" applyFont="1" applyAlignment="1">
      <alignment horizontal="right"/>
    </xf>
    <xf numFmtId="0" fontId="6" fillId="0" borderId="3" xfId="0" applyFont="1" applyBorder="1"/>
    <xf numFmtId="0" fontId="4" fillId="0" borderId="3" xfId="0" applyFont="1" applyBorder="1"/>
    <xf numFmtId="0" fontId="0" fillId="0" borderId="3" xfId="0" applyBorder="1"/>
    <xf numFmtId="0" fontId="4" fillId="2" borderId="3" xfId="0" applyFont="1" applyFill="1" applyBorder="1"/>
    <xf numFmtId="164" fontId="4" fillId="0" borderId="3" xfId="0" applyNumberFormat="1" applyFon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workbookViewId="0">
      <selection activeCell="E40" sqref="E40"/>
    </sheetView>
  </sheetViews>
  <sheetFormatPr defaultRowHeight="14.25" x14ac:dyDescent="0.45"/>
  <cols>
    <col min="1" max="1" width="9.1328125" style="5"/>
  </cols>
  <sheetData>
    <row r="1" spans="1:18" x14ac:dyDescent="0.45">
      <c r="B1" s="7" t="s">
        <v>5</v>
      </c>
      <c r="C1" s="7"/>
      <c r="D1" s="7" t="s">
        <v>6</v>
      </c>
      <c r="E1" s="7"/>
      <c r="F1" s="4"/>
      <c r="H1" s="7" t="s">
        <v>5</v>
      </c>
      <c r="I1" s="7"/>
      <c r="J1" s="7" t="s">
        <v>6</v>
      </c>
      <c r="K1" s="7"/>
      <c r="L1" s="4"/>
      <c r="N1" s="7" t="s">
        <v>5</v>
      </c>
      <c r="O1" s="7"/>
      <c r="P1" s="7" t="s">
        <v>6</v>
      </c>
      <c r="Q1" s="7"/>
    </row>
    <row r="2" spans="1:18" x14ac:dyDescent="0.45">
      <c r="B2" s="6" t="s">
        <v>0</v>
      </c>
      <c r="C2" s="6"/>
      <c r="D2" s="6" t="s">
        <v>4</v>
      </c>
      <c r="E2" s="6"/>
      <c r="F2" s="4"/>
      <c r="H2" s="6" t="s">
        <v>3</v>
      </c>
      <c r="I2" s="6"/>
      <c r="J2" s="6" t="s">
        <v>3</v>
      </c>
      <c r="K2" s="6"/>
      <c r="L2" s="4"/>
      <c r="N2" s="6" t="s">
        <v>4</v>
      </c>
      <c r="O2" s="6"/>
      <c r="P2" s="6" t="s">
        <v>0</v>
      </c>
      <c r="Q2" s="6"/>
    </row>
    <row r="3" spans="1:18" x14ac:dyDescent="0.45">
      <c r="B3" s="2" t="s">
        <v>1</v>
      </c>
      <c r="C3" s="2" t="s">
        <v>2</v>
      </c>
      <c r="D3" s="2" t="s">
        <v>1</v>
      </c>
      <c r="E3" s="2" t="s">
        <v>2</v>
      </c>
      <c r="F3" s="1" t="s">
        <v>7</v>
      </c>
      <c r="H3" s="2" t="s">
        <v>1</v>
      </c>
      <c r="I3" s="2" t="s">
        <v>2</v>
      </c>
      <c r="J3" s="2" t="s">
        <v>1</v>
      </c>
      <c r="K3" s="2" t="s">
        <v>2</v>
      </c>
      <c r="L3" s="1" t="s">
        <v>7</v>
      </c>
      <c r="N3" s="2" t="s">
        <v>1</v>
      </c>
      <c r="O3" s="2" t="s">
        <v>2</v>
      </c>
      <c r="P3" s="2" t="s">
        <v>1</v>
      </c>
      <c r="Q3" s="2" t="s">
        <v>2</v>
      </c>
      <c r="R3" s="1" t="s">
        <v>7</v>
      </c>
    </row>
    <row r="4" spans="1:18" x14ac:dyDescent="0.45">
      <c r="A4" s="5">
        <v>1</v>
      </c>
      <c r="B4" s="1"/>
      <c r="C4" s="1"/>
      <c r="D4">
        <v>3</v>
      </c>
      <c r="E4" s="9">
        <v>1</v>
      </c>
      <c r="F4">
        <v>1</v>
      </c>
      <c r="H4">
        <v>1</v>
      </c>
      <c r="I4" s="10">
        <v>1</v>
      </c>
      <c r="J4" s="1"/>
      <c r="K4" s="1"/>
      <c r="L4">
        <v>-1</v>
      </c>
      <c r="N4" s="1"/>
      <c r="O4" s="1"/>
      <c r="P4">
        <v>1</v>
      </c>
      <c r="Q4" s="9">
        <v>1</v>
      </c>
      <c r="R4">
        <v>1</v>
      </c>
    </row>
    <row r="5" spans="1:18" x14ac:dyDescent="0.45">
      <c r="A5" s="5">
        <v>2</v>
      </c>
      <c r="B5">
        <v>4</v>
      </c>
      <c r="C5" s="10">
        <v>1</v>
      </c>
      <c r="F5">
        <v>-1</v>
      </c>
      <c r="H5">
        <v>2</v>
      </c>
      <c r="I5">
        <v>5</v>
      </c>
      <c r="J5">
        <v>2</v>
      </c>
      <c r="K5">
        <v>4</v>
      </c>
      <c r="N5" s="1"/>
      <c r="O5" s="1"/>
      <c r="P5">
        <v>2</v>
      </c>
      <c r="Q5" s="9">
        <v>1</v>
      </c>
      <c r="R5">
        <v>1</v>
      </c>
    </row>
    <row r="6" spans="1:18" x14ac:dyDescent="0.45">
      <c r="A6" s="5">
        <v>3</v>
      </c>
      <c r="B6">
        <v>5</v>
      </c>
      <c r="C6">
        <v>1</v>
      </c>
      <c r="D6">
        <v>5</v>
      </c>
      <c r="E6">
        <v>2</v>
      </c>
      <c r="H6">
        <v>3</v>
      </c>
      <c r="I6">
        <v>2</v>
      </c>
      <c r="J6">
        <v>3</v>
      </c>
      <c r="K6">
        <v>1</v>
      </c>
      <c r="N6" s="1"/>
      <c r="O6" s="1"/>
      <c r="P6">
        <v>4</v>
      </c>
      <c r="Q6" s="9">
        <v>1</v>
      </c>
      <c r="R6">
        <v>1</v>
      </c>
    </row>
    <row r="7" spans="1:18" x14ac:dyDescent="0.45">
      <c r="A7" s="5">
        <v>4</v>
      </c>
      <c r="D7">
        <v>7</v>
      </c>
      <c r="E7" s="9">
        <v>1</v>
      </c>
      <c r="F7">
        <v>1</v>
      </c>
      <c r="H7">
        <v>5</v>
      </c>
      <c r="I7" s="10">
        <v>1</v>
      </c>
      <c r="L7">
        <v>-1</v>
      </c>
      <c r="N7">
        <v>6</v>
      </c>
      <c r="O7">
        <v>2</v>
      </c>
      <c r="P7">
        <v>6</v>
      </c>
      <c r="Q7">
        <v>2</v>
      </c>
    </row>
    <row r="8" spans="1:18" x14ac:dyDescent="0.45">
      <c r="A8" s="5">
        <v>5</v>
      </c>
      <c r="D8">
        <v>8</v>
      </c>
      <c r="E8" s="9">
        <v>1</v>
      </c>
      <c r="F8">
        <v>1</v>
      </c>
      <c r="J8">
        <v>7</v>
      </c>
      <c r="K8" s="9">
        <v>1</v>
      </c>
      <c r="L8">
        <v>1</v>
      </c>
      <c r="N8">
        <v>7</v>
      </c>
      <c r="O8" s="10">
        <v>2</v>
      </c>
      <c r="R8">
        <v>-1</v>
      </c>
    </row>
    <row r="9" spans="1:18" x14ac:dyDescent="0.45">
      <c r="A9" s="5">
        <v>6</v>
      </c>
      <c r="B9">
        <v>9</v>
      </c>
      <c r="C9">
        <v>2</v>
      </c>
      <c r="D9">
        <v>9</v>
      </c>
      <c r="E9">
        <v>1</v>
      </c>
      <c r="H9">
        <v>8</v>
      </c>
      <c r="I9" s="10">
        <v>2</v>
      </c>
      <c r="L9">
        <v>-1</v>
      </c>
      <c r="P9">
        <v>8</v>
      </c>
      <c r="Q9" s="9">
        <v>1</v>
      </c>
      <c r="R9">
        <v>1</v>
      </c>
    </row>
    <row r="10" spans="1:18" x14ac:dyDescent="0.45">
      <c r="A10" s="5">
        <v>7</v>
      </c>
      <c r="B10">
        <v>10</v>
      </c>
      <c r="C10">
        <v>1</v>
      </c>
      <c r="D10">
        <v>10</v>
      </c>
      <c r="E10">
        <v>1</v>
      </c>
      <c r="J10">
        <v>9</v>
      </c>
      <c r="K10" s="9">
        <v>1</v>
      </c>
      <c r="L10">
        <v>1</v>
      </c>
      <c r="N10">
        <v>11</v>
      </c>
      <c r="O10" s="10">
        <v>2</v>
      </c>
      <c r="R10">
        <v>-1</v>
      </c>
    </row>
    <row r="11" spans="1:18" x14ac:dyDescent="0.45">
      <c r="A11" s="5">
        <v>8</v>
      </c>
      <c r="D11">
        <v>11</v>
      </c>
      <c r="E11" s="9">
        <v>1</v>
      </c>
      <c r="F11">
        <v>1</v>
      </c>
      <c r="J11">
        <v>11</v>
      </c>
      <c r="K11" s="9">
        <v>1</v>
      </c>
      <c r="L11">
        <v>1</v>
      </c>
      <c r="N11">
        <v>12</v>
      </c>
      <c r="O11" s="10">
        <v>2</v>
      </c>
      <c r="R11">
        <v>-1</v>
      </c>
    </row>
    <row r="12" spans="1:18" x14ac:dyDescent="0.45">
      <c r="A12" s="5">
        <v>9</v>
      </c>
      <c r="B12">
        <v>12</v>
      </c>
      <c r="C12">
        <v>3</v>
      </c>
      <c r="D12">
        <v>12</v>
      </c>
      <c r="E12">
        <v>3</v>
      </c>
      <c r="J12">
        <v>12</v>
      </c>
      <c r="K12" s="9">
        <v>2</v>
      </c>
      <c r="L12">
        <v>1</v>
      </c>
      <c r="P12">
        <v>13</v>
      </c>
      <c r="Q12" s="9">
        <v>1</v>
      </c>
      <c r="R12">
        <v>1</v>
      </c>
    </row>
    <row r="13" spans="1:18" x14ac:dyDescent="0.45">
      <c r="A13" s="5">
        <v>10</v>
      </c>
      <c r="B13">
        <v>13</v>
      </c>
      <c r="C13" s="10">
        <v>2</v>
      </c>
      <c r="F13">
        <v>-1</v>
      </c>
      <c r="J13">
        <v>13</v>
      </c>
      <c r="K13" s="9">
        <v>1</v>
      </c>
      <c r="L13">
        <v>1</v>
      </c>
      <c r="N13">
        <v>14</v>
      </c>
      <c r="O13">
        <v>2</v>
      </c>
      <c r="P13">
        <v>14</v>
      </c>
      <c r="Q13">
        <v>2</v>
      </c>
    </row>
    <row r="14" spans="1:18" x14ac:dyDescent="0.45">
      <c r="A14" s="5">
        <v>11</v>
      </c>
      <c r="B14">
        <v>15</v>
      </c>
      <c r="C14">
        <v>1</v>
      </c>
      <c r="D14">
        <v>15</v>
      </c>
      <c r="E14">
        <v>1</v>
      </c>
      <c r="H14">
        <v>20</v>
      </c>
      <c r="I14">
        <v>5</v>
      </c>
      <c r="J14">
        <v>20</v>
      </c>
      <c r="K14">
        <v>3</v>
      </c>
      <c r="N14">
        <v>16</v>
      </c>
      <c r="O14" s="10">
        <v>2</v>
      </c>
      <c r="R14">
        <v>-1</v>
      </c>
    </row>
    <row r="15" spans="1:18" x14ac:dyDescent="0.45">
      <c r="A15" s="5">
        <v>12</v>
      </c>
      <c r="D15">
        <v>17</v>
      </c>
      <c r="E15" s="9">
        <v>1</v>
      </c>
      <c r="F15">
        <v>1</v>
      </c>
      <c r="J15">
        <v>21</v>
      </c>
      <c r="K15" s="9">
        <v>1</v>
      </c>
      <c r="L15">
        <v>1</v>
      </c>
      <c r="N15">
        <v>17</v>
      </c>
      <c r="O15" s="10">
        <v>1</v>
      </c>
      <c r="R15">
        <v>-1</v>
      </c>
    </row>
    <row r="16" spans="1:18" x14ac:dyDescent="0.45">
      <c r="A16" s="5">
        <v>13</v>
      </c>
      <c r="B16">
        <v>18</v>
      </c>
      <c r="C16">
        <v>2</v>
      </c>
      <c r="D16">
        <v>18</v>
      </c>
      <c r="E16">
        <v>1</v>
      </c>
      <c r="H16">
        <v>22</v>
      </c>
      <c r="I16" s="10">
        <v>1</v>
      </c>
      <c r="L16">
        <v>-1</v>
      </c>
      <c r="N16">
        <v>18</v>
      </c>
      <c r="O16">
        <v>3</v>
      </c>
      <c r="P16">
        <v>18</v>
      </c>
      <c r="Q16">
        <v>4</v>
      </c>
    </row>
    <row r="17" spans="1:18" x14ac:dyDescent="0.45">
      <c r="A17" s="5">
        <v>14</v>
      </c>
      <c r="D17">
        <v>20</v>
      </c>
      <c r="E17" s="9">
        <v>1</v>
      </c>
      <c r="F17">
        <v>1</v>
      </c>
      <c r="H17">
        <v>23</v>
      </c>
      <c r="I17">
        <v>1</v>
      </c>
      <c r="J17">
        <v>23</v>
      </c>
      <c r="K17">
        <v>1</v>
      </c>
      <c r="N17">
        <v>19</v>
      </c>
      <c r="O17">
        <v>1</v>
      </c>
      <c r="P17">
        <v>19</v>
      </c>
      <c r="Q17">
        <v>1</v>
      </c>
    </row>
    <row r="18" spans="1:18" x14ac:dyDescent="0.45">
      <c r="A18" s="5">
        <v>15</v>
      </c>
      <c r="D18">
        <v>22</v>
      </c>
      <c r="E18" s="9">
        <v>1</v>
      </c>
      <c r="F18">
        <v>1</v>
      </c>
      <c r="J18">
        <v>25</v>
      </c>
      <c r="K18" s="9">
        <v>1</v>
      </c>
      <c r="L18">
        <v>1</v>
      </c>
      <c r="P18">
        <v>20</v>
      </c>
      <c r="Q18" s="9">
        <v>1</v>
      </c>
      <c r="R18">
        <v>1</v>
      </c>
    </row>
    <row r="19" spans="1:18" x14ac:dyDescent="0.45">
      <c r="A19" s="5">
        <v>16</v>
      </c>
      <c r="D19">
        <v>23</v>
      </c>
      <c r="E19" s="9">
        <v>1</v>
      </c>
      <c r="F19">
        <v>1</v>
      </c>
      <c r="J19">
        <v>26</v>
      </c>
      <c r="K19" s="9">
        <v>1</v>
      </c>
      <c r="L19">
        <v>1</v>
      </c>
      <c r="N19">
        <v>21</v>
      </c>
      <c r="O19" s="10">
        <v>1</v>
      </c>
      <c r="R19">
        <v>-1</v>
      </c>
    </row>
    <row r="20" spans="1:18" x14ac:dyDescent="0.45">
      <c r="A20" s="5">
        <v>17</v>
      </c>
      <c r="B20">
        <v>25</v>
      </c>
      <c r="C20" s="10">
        <v>2</v>
      </c>
      <c r="F20">
        <v>-1</v>
      </c>
      <c r="H20">
        <v>27</v>
      </c>
      <c r="I20">
        <v>2</v>
      </c>
      <c r="J20">
        <v>27</v>
      </c>
      <c r="K20">
        <v>1</v>
      </c>
      <c r="N20">
        <v>23</v>
      </c>
      <c r="O20" s="10">
        <v>1</v>
      </c>
      <c r="R20">
        <v>-1</v>
      </c>
    </row>
    <row r="21" spans="1:18" x14ac:dyDescent="0.45">
      <c r="A21" s="5">
        <v>18</v>
      </c>
      <c r="D21">
        <v>28</v>
      </c>
      <c r="E21" s="9">
        <v>1</v>
      </c>
      <c r="F21">
        <v>1</v>
      </c>
      <c r="H21">
        <v>28</v>
      </c>
      <c r="I21" s="10">
        <v>2</v>
      </c>
      <c r="L21">
        <v>-1</v>
      </c>
      <c r="N21">
        <v>24</v>
      </c>
      <c r="O21">
        <v>1</v>
      </c>
      <c r="P21">
        <v>24</v>
      </c>
      <c r="Q21">
        <v>1</v>
      </c>
    </row>
    <row r="22" spans="1:18" x14ac:dyDescent="0.45">
      <c r="A22" s="5">
        <v>19</v>
      </c>
      <c r="B22">
        <v>30</v>
      </c>
      <c r="C22" s="10">
        <v>2</v>
      </c>
      <c r="F22">
        <v>-1</v>
      </c>
      <c r="H22">
        <v>29</v>
      </c>
      <c r="I22">
        <v>1</v>
      </c>
      <c r="J22">
        <v>29</v>
      </c>
      <c r="K22">
        <v>1</v>
      </c>
      <c r="N22">
        <v>25</v>
      </c>
      <c r="O22">
        <v>3</v>
      </c>
      <c r="P22">
        <v>25</v>
      </c>
      <c r="Q22">
        <v>4</v>
      </c>
    </row>
    <row r="23" spans="1:18" x14ac:dyDescent="0.45">
      <c r="A23" s="5">
        <v>20</v>
      </c>
      <c r="D23">
        <v>31</v>
      </c>
      <c r="E23" s="9">
        <v>1</v>
      </c>
      <c r="F23">
        <v>1</v>
      </c>
      <c r="J23">
        <v>30</v>
      </c>
      <c r="K23" s="9">
        <v>2</v>
      </c>
      <c r="L23">
        <v>1</v>
      </c>
      <c r="N23">
        <v>26</v>
      </c>
      <c r="O23" s="10">
        <v>1</v>
      </c>
      <c r="R23">
        <v>-1</v>
      </c>
    </row>
    <row r="24" spans="1:18" x14ac:dyDescent="0.45">
      <c r="A24" s="5">
        <v>21</v>
      </c>
      <c r="D24">
        <v>33</v>
      </c>
      <c r="E24" s="9">
        <v>2</v>
      </c>
      <c r="F24">
        <v>1</v>
      </c>
      <c r="H24">
        <v>31</v>
      </c>
      <c r="I24" s="10">
        <v>2</v>
      </c>
      <c r="L24">
        <v>-1</v>
      </c>
      <c r="P24">
        <v>27</v>
      </c>
      <c r="Q24" s="9">
        <v>1</v>
      </c>
      <c r="R24">
        <v>1</v>
      </c>
    </row>
    <row r="25" spans="1:18" x14ac:dyDescent="0.45">
      <c r="A25" s="5">
        <v>22</v>
      </c>
      <c r="B25">
        <v>34</v>
      </c>
      <c r="C25">
        <v>2</v>
      </c>
      <c r="D25">
        <v>34</v>
      </c>
      <c r="E25">
        <v>1</v>
      </c>
      <c r="H25">
        <v>32</v>
      </c>
      <c r="I25">
        <v>2</v>
      </c>
      <c r="J25">
        <v>32</v>
      </c>
      <c r="K25">
        <v>2</v>
      </c>
      <c r="P25">
        <v>28</v>
      </c>
      <c r="Q25" s="9">
        <v>1</v>
      </c>
      <c r="R25">
        <v>1</v>
      </c>
    </row>
    <row r="26" spans="1:18" x14ac:dyDescent="0.45">
      <c r="A26" s="5">
        <v>23</v>
      </c>
      <c r="D26">
        <v>35</v>
      </c>
      <c r="E26" s="9">
        <v>1</v>
      </c>
      <c r="F26">
        <v>1</v>
      </c>
      <c r="H26">
        <v>34</v>
      </c>
      <c r="I26">
        <v>1</v>
      </c>
      <c r="J26">
        <v>34</v>
      </c>
      <c r="K26">
        <v>3</v>
      </c>
      <c r="P26">
        <v>31</v>
      </c>
      <c r="Q26" s="9">
        <v>1</v>
      </c>
      <c r="R26">
        <v>1</v>
      </c>
    </row>
    <row r="27" spans="1:18" x14ac:dyDescent="0.45">
      <c r="A27" s="5">
        <v>24</v>
      </c>
      <c r="B27">
        <v>37</v>
      </c>
      <c r="C27">
        <v>1</v>
      </c>
      <c r="D27">
        <v>37</v>
      </c>
      <c r="E27">
        <v>1</v>
      </c>
      <c r="H27">
        <v>35</v>
      </c>
      <c r="I27">
        <v>2</v>
      </c>
      <c r="J27">
        <v>35</v>
      </c>
      <c r="K27">
        <v>1</v>
      </c>
      <c r="N27">
        <v>33</v>
      </c>
      <c r="O27" s="10">
        <v>2</v>
      </c>
      <c r="R27">
        <v>-1</v>
      </c>
    </row>
    <row r="28" spans="1:18" x14ac:dyDescent="0.45">
      <c r="A28" s="5">
        <v>25</v>
      </c>
      <c r="B28">
        <v>38</v>
      </c>
      <c r="C28">
        <v>1</v>
      </c>
      <c r="D28">
        <v>38</v>
      </c>
      <c r="E28">
        <v>1</v>
      </c>
      <c r="H28">
        <v>36</v>
      </c>
      <c r="I28">
        <v>1</v>
      </c>
      <c r="J28">
        <v>36</v>
      </c>
      <c r="K28">
        <v>1</v>
      </c>
      <c r="N28">
        <v>34</v>
      </c>
      <c r="O28">
        <v>2</v>
      </c>
      <c r="P28">
        <v>34</v>
      </c>
      <c r="Q28">
        <v>1</v>
      </c>
    </row>
    <row r="29" spans="1:18" x14ac:dyDescent="0.45">
      <c r="A29" s="5">
        <v>26</v>
      </c>
      <c r="B29">
        <v>41</v>
      </c>
      <c r="C29" s="10">
        <v>4</v>
      </c>
      <c r="F29">
        <v>-1</v>
      </c>
      <c r="H29">
        <v>38</v>
      </c>
      <c r="I29">
        <v>1</v>
      </c>
      <c r="J29">
        <v>38</v>
      </c>
      <c r="K29">
        <v>1</v>
      </c>
      <c r="N29">
        <v>39</v>
      </c>
      <c r="O29" s="10">
        <v>2</v>
      </c>
      <c r="R29">
        <v>-1</v>
      </c>
    </row>
    <row r="30" spans="1:18" x14ac:dyDescent="0.45">
      <c r="A30" s="5">
        <v>27</v>
      </c>
      <c r="B30">
        <v>42</v>
      </c>
      <c r="C30" s="10">
        <v>2</v>
      </c>
      <c r="F30">
        <v>-1</v>
      </c>
      <c r="J30">
        <v>40</v>
      </c>
      <c r="K30" s="9">
        <v>1</v>
      </c>
      <c r="L30">
        <v>1</v>
      </c>
      <c r="N30">
        <v>40</v>
      </c>
      <c r="O30" s="10">
        <v>1</v>
      </c>
      <c r="R30">
        <v>-1</v>
      </c>
    </row>
    <row r="31" spans="1:18" x14ac:dyDescent="0.45">
      <c r="A31" s="5">
        <v>28</v>
      </c>
      <c r="B31">
        <v>44</v>
      </c>
      <c r="C31">
        <v>2</v>
      </c>
      <c r="D31">
        <v>44</v>
      </c>
      <c r="E31">
        <v>2</v>
      </c>
      <c r="J31">
        <v>41</v>
      </c>
      <c r="K31" s="9">
        <v>1</v>
      </c>
      <c r="L31">
        <v>1</v>
      </c>
      <c r="N31">
        <v>41</v>
      </c>
      <c r="O31">
        <v>1</v>
      </c>
      <c r="P31">
        <v>41</v>
      </c>
      <c r="Q31">
        <v>4</v>
      </c>
    </row>
    <row r="32" spans="1:18" x14ac:dyDescent="0.45">
      <c r="A32" s="5">
        <v>29</v>
      </c>
      <c r="B32">
        <v>45</v>
      </c>
      <c r="C32" s="10">
        <v>1</v>
      </c>
      <c r="F32">
        <v>-1</v>
      </c>
      <c r="J32">
        <v>45</v>
      </c>
      <c r="K32" s="9">
        <v>1</v>
      </c>
      <c r="L32">
        <v>1</v>
      </c>
      <c r="N32">
        <v>43</v>
      </c>
      <c r="O32" s="10">
        <v>2</v>
      </c>
      <c r="R32">
        <v>-1</v>
      </c>
    </row>
    <row r="33" spans="1:18" x14ac:dyDescent="0.45">
      <c r="A33" s="5">
        <v>30</v>
      </c>
      <c r="D33">
        <v>46</v>
      </c>
      <c r="E33" s="9">
        <v>1</v>
      </c>
      <c r="F33">
        <v>1</v>
      </c>
      <c r="H33">
        <v>46</v>
      </c>
      <c r="I33" s="10">
        <v>1</v>
      </c>
      <c r="L33">
        <v>-1</v>
      </c>
      <c r="P33">
        <v>47</v>
      </c>
      <c r="Q33" s="9">
        <v>2</v>
      </c>
      <c r="R33">
        <v>1</v>
      </c>
    </row>
    <row r="34" spans="1:18" x14ac:dyDescent="0.45">
      <c r="A34" s="5">
        <v>31</v>
      </c>
      <c r="B34">
        <v>47</v>
      </c>
      <c r="C34" s="10">
        <v>2</v>
      </c>
      <c r="F34">
        <v>-1</v>
      </c>
      <c r="H34">
        <v>48</v>
      </c>
      <c r="I34" s="10">
        <v>2</v>
      </c>
      <c r="L34">
        <v>-1</v>
      </c>
      <c r="N34">
        <v>50</v>
      </c>
      <c r="O34">
        <v>1</v>
      </c>
      <c r="P34">
        <v>50</v>
      </c>
      <c r="Q34">
        <v>1</v>
      </c>
    </row>
    <row r="35" spans="1:18" x14ac:dyDescent="0.45">
      <c r="A35" s="5">
        <v>32</v>
      </c>
      <c r="B35">
        <v>49</v>
      </c>
      <c r="C35" s="10">
        <v>1</v>
      </c>
      <c r="F35">
        <v>-1</v>
      </c>
      <c r="H35">
        <v>49</v>
      </c>
      <c r="I35" s="10">
        <v>1</v>
      </c>
      <c r="L35">
        <v>-1</v>
      </c>
    </row>
    <row r="36" spans="1:18" x14ac:dyDescent="0.45">
      <c r="B36" s="3">
        <f>COUNT(B4:B35)</f>
        <v>19</v>
      </c>
      <c r="D36" s="3">
        <f>COUNT(D4:D35)</f>
        <v>23</v>
      </c>
      <c r="E36" s="11" t="s">
        <v>11</v>
      </c>
      <c r="F36" s="3">
        <f>COUNT(F4:F35)</f>
        <v>22</v>
      </c>
      <c r="H36" s="3">
        <f>COUNT(H4:H35)</f>
        <v>20</v>
      </c>
      <c r="J36" s="3">
        <f>COUNT(J4:J35)</f>
        <v>23</v>
      </c>
      <c r="K36" s="11" t="s">
        <v>11</v>
      </c>
      <c r="L36" s="3">
        <f>COUNT(L4:L35)</f>
        <v>21</v>
      </c>
      <c r="N36" s="3">
        <f>COUNT(N4:N34)</f>
        <v>21</v>
      </c>
      <c r="P36" s="3">
        <f>COUNT(P4:P34)</f>
        <v>19</v>
      </c>
      <c r="Q36" s="11" t="s">
        <v>11</v>
      </c>
      <c r="R36" s="3">
        <f>COUNT(R4:R34)</f>
        <v>22</v>
      </c>
    </row>
    <row r="37" spans="1:18" x14ac:dyDescent="0.45">
      <c r="E37" s="11" t="s">
        <v>12</v>
      </c>
      <c r="F37">
        <f>COUNTIF(F4:F35,"&lt;0")</f>
        <v>9</v>
      </c>
      <c r="K37" s="11" t="s">
        <v>12</v>
      </c>
      <c r="L37">
        <f>COUNTIF(L4:L35,"&lt;0")</f>
        <v>9</v>
      </c>
      <c r="Q37" s="11" t="s">
        <v>12</v>
      </c>
      <c r="R37">
        <f>COUNTIF(R4:R35,"&lt;0")</f>
        <v>12</v>
      </c>
    </row>
    <row r="38" spans="1:18" x14ac:dyDescent="0.45">
      <c r="E38" s="11" t="s">
        <v>13</v>
      </c>
      <c r="F38">
        <f>COUNTIF(F4:F35,"&gt;0")</f>
        <v>13</v>
      </c>
      <c r="K38" s="11" t="s">
        <v>13</v>
      </c>
      <c r="L38">
        <f>COUNTIF(L4:L35,"&gt;0")</f>
        <v>12</v>
      </c>
      <c r="Q38" s="11" t="s">
        <v>13</v>
      </c>
      <c r="R38">
        <f>COUNTIF(R4:R35,"&gt;0")</f>
        <v>10</v>
      </c>
    </row>
    <row r="40" spans="1:18" x14ac:dyDescent="0.45">
      <c r="B40" s="14"/>
      <c r="C40" s="14"/>
      <c r="D40" s="14"/>
      <c r="E40" s="12" t="s">
        <v>14</v>
      </c>
      <c r="F40" s="13">
        <f>(A35-F36)/B36</f>
        <v>0.52631578947368418</v>
      </c>
      <c r="H40" s="14"/>
      <c r="I40" s="14"/>
      <c r="J40" s="14"/>
      <c r="K40" s="12" t="s">
        <v>14</v>
      </c>
      <c r="L40" s="13">
        <f>(A35-L36)/H36</f>
        <v>0.55000000000000004</v>
      </c>
      <c r="N40" s="14"/>
      <c r="O40" s="14"/>
      <c r="P40" s="14"/>
      <c r="Q40" s="12" t="s">
        <v>14</v>
      </c>
      <c r="R40" s="15">
        <f>(A34-R36)/N36</f>
        <v>0.42857142857142855</v>
      </c>
    </row>
  </sheetData>
  <mergeCells count="12">
    <mergeCell ref="P1:Q1"/>
    <mergeCell ref="B2:C2"/>
    <mergeCell ref="B1:C1"/>
    <mergeCell ref="D1:E1"/>
    <mergeCell ref="H1:I1"/>
    <mergeCell ref="J1:K1"/>
    <mergeCell ref="N1:O1"/>
    <mergeCell ref="D2:E2"/>
    <mergeCell ref="H2:I2"/>
    <mergeCell ref="J2:K2"/>
    <mergeCell ref="N2:O2"/>
    <mergeCell ref="P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E582-ADCE-42D2-A48C-451B291CD1E1}">
  <dimension ref="A1:R50"/>
  <sheetViews>
    <sheetView topLeftCell="A33" workbookViewId="0">
      <selection activeCell="S41" sqref="S41"/>
    </sheetView>
  </sheetViews>
  <sheetFormatPr defaultRowHeight="14.25" x14ac:dyDescent="0.45"/>
  <sheetData>
    <row r="1" spans="1:18" x14ac:dyDescent="0.45">
      <c r="B1" s="7" t="s">
        <v>8</v>
      </c>
      <c r="C1" s="7"/>
      <c r="D1" s="7" t="s">
        <v>9</v>
      </c>
      <c r="E1" s="7"/>
      <c r="F1" s="4"/>
      <c r="H1" s="7" t="s">
        <v>8</v>
      </c>
      <c r="I1" s="7"/>
      <c r="J1" s="7" t="s">
        <v>9</v>
      </c>
      <c r="K1" s="7"/>
      <c r="L1" s="4"/>
      <c r="N1" s="7" t="s">
        <v>8</v>
      </c>
      <c r="O1" s="7"/>
      <c r="P1" s="7" t="s">
        <v>9</v>
      </c>
      <c r="Q1" s="7"/>
    </row>
    <row r="2" spans="1:18" x14ac:dyDescent="0.45">
      <c r="B2" s="6" t="s">
        <v>0</v>
      </c>
      <c r="C2" s="6"/>
      <c r="D2" s="6" t="s">
        <v>4</v>
      </c>
      <c r="E2" s="6"/>
      <c r="F2" s="4"/>
      <c r="H2" s="6" t="s">
        <v>3</v>
      </c>
      <c r="I2" s="6"/>
      <c r="J2" s="6" t="s">
        <v>3</v>
      </c>
      <c r="K2" s="6"/>
      <c r="L2" s="4"/>
      <c r="N2" s="6" t="s">
        <v>4</v>
      </c>
      <c r="O2" s="6"/>
      <c r="P2" s="6" t="s">
        <v>0</v>
      </c>
      <c r="Q2" s="6"/>
    </row>
    <row r="3" spans="1:18" x14ac:dyDescent="0.45">
      <c r="B3" s="2" t="s">
        <v>1</v>
      </c>
      <c r="C3" s="2" t="s">
        <v>2</v>
      </c>
      <c r="D3" s="2" t="s">
        <v>1</v>
      </c>
      <c r="E3" s="2" t="s">
        <v>2</v>
      </c>
      <c r="F3" s="1" t="s">
        <v>7</v>
      </c>
      <c r="H3" s="2" t="s">
        <v>1</v>
      </c>
      <c r="I3" s="2" t="s">
        <v>2</v>
      </c>
      <c r="J3" s="2" t="s">
        <v>1</v>
      </c>
      <c r="K3" s="2" t="s">
        <v>2</v>
      </c>
      <c r="L3" s="1" t="s">
        <v>7</v>
      </c>
      <c r="N3" s="2" t="s">
        <v>1</v>
      </c>
      <c r="O3" s="2" t="s">
        <v>2</v>
      </c>
      <c r="P3" s="2" t="s">
        <v>1</v>
      </c>
      <c r="Q3" s="2" t="s">
        <v>2</v>
      </c>
      <c r="R3" s="1" t="s">
        <v>7</v>
      </c>
    </row>
    <row r="4" spans="1:18" x14ac:dyDescent="0.45">
      <c r="A4" s="5">
        <v>1</v>
      </c>
      <c r="B4" s="1"/>
      <c r="C4" s="1"/>
      <c r="D4">
        <v>2</v>
      </c>
      <c r="E4" s="9">
        <v>1</v>
      </c>
      <c r="F4">
        <v>1</v>
      </c>
      <c r="H4">
        <v>1</v>
      </c>
      <c r="I4" s="10">
        <v>1</v>
      </c>
      <c r="J4" s="1"/>
      <c r="K4" s="1"/>
      <c r="L4">
        <v>-1</v>
      </c>
      <c r="N4" s="1"/>
      <c r="O4" s="1"/>
      <c r="P4">
        <v>1</v>
      </c>
      <c r="Q4" s="9">
        <v>1</v>
      </c>
      <c r="R4">
        <v>1</v>
      </c>
    </row>
    <row r="5" spans="1:18" x14ac:dyDescent="0.45">
      <c r="A5" s="5">
        <v>2</v>
      </c>
      <c r="B5" s="1"/>
      <c r="C5" s="1"/>
      <c r="D5">
        <v>5</v>
      </c>
      <c r="E5" s="9">
        <v>1</v>
      </c>
      <c r="F5">
        <v>1</v>
      </c>
      <c r="H5">
        <v>2</v>
      </c>
      <c r="I5">
        <v>3</v>
      </c>
      <c r="J5">
        <v>2</v>
      </c>
      <c r="K5">
        <v>2</v>
      </c>
      <c r="N5">
        <v>2</v>
      </c>
      <c r="O5">
        <v>2</v>
      </c>
      <c r="P5">
        <v>2</v>
      </c>
      <c r="Q5">
        <v>2</v>
      </c>
    </row>
    <row r="6" spans="1:18" x14ac:dyDescent="0.45">
      <c r="A6" s="5">
        <v>3</v>
      </c>
      <c r="B6">
        <v>6</v>
      </c>
      <c r="C6" s="10">
        <v>1</v>
      </c>
      <c r="F6">
        <v>-1</v>
      </c>
      <c r="H6">
        <v>3</v>
      </c>
      <c r="I6">
        <v>2</v>
      </c>
      <c r="J6">
        <v>3</v>
      </c>
      <c r="K6">
        <v>2</v>
      </c>
      <c r="N6">
        <v>4</v>
      </c>
      <c r="O6">
        <v>1</v>
      </c>
      <c r="P6">
        <v>4</v>
      </c>
      <c r="Q6">
        <v>1</v>
      </c>
    </row>
    <row r="7" spans="1:18" x14ac:dyDescent="0.45">
      <c r="A7" s="5">
        <v>4</v>
      </c>
      <c r="B7">
        <v>7</v>
      </c>
      <c r="C7" s="10">
        <v>1</v>
      </c>
      <c r="F7">
        <v>-1</v>
      </c>
      <c r="H7">
        <v>5</v>
      </c>
      <c r="I7">
        <v>2</v>
      </c>
      <c r="J7">
        <v>5</v>
      </c>
      <c r="K7">
        <v>1</v>
      </c>
      <c r="N7">
        <v>6</v>
      </c>
      <c r="O7">
        <v>1</v>
      </c>
      <c r="P7">
        <v>6</v>
      </c>
      <c r="Q7">
        <v>2</v>
      </c>
    </row>
    <row r="8" spans="1:18" x14ac:dyDescent="0.45">
      <c r="A8" s="5">
        <v>5</v>
      </c>
      <c r="B8">
        <v>9</v>
      </c>
      <c r="C8">
        <v>1</v>
      </c>
      <c r="D8">
        <v>9</v>
      </c>
      <c r="E8">
        <v>2</v>
      </c>
      <c r="J8">
        <v>7</v>
      </c>
      <c r="K8" s="9">
        <v>2</v>
      </c>
      <c r="L8">
        <v>1</v>
      </c>
      <c r="N8">
        <v>7</v>
      </c>
      <c r="O8" s="10">
        <v>1</v>
      </c>
      <c r="R8">
        <v>-1</v>
      </c>
    </row>
    <row r="9" spans="1:18" x14ac:dyDescent="0.45">
      <c r="A9" s="5">
        <v>6</v>
      </c>
      <c r="D9">
        <v>10</v>
      </c>
      <c r="E9" s="9">
        <v>1</v>
      </c>
      <c r="F9">
        <v>1</v>
      </c>
      <c r="H9">
        <v>8</v>
      </c>
      <c r="I9">
        <v>1</v>
      </c>
      <c r="J9">
        <v>8</v>
      </c>
      <c r="K9">
        <v>1</v>
      </c>
      <c r="N9">
        <v>8</v>
      </c>
      <c r="O9">
        <v>1</v>
      </c>
      <c r="P9">
        <v>8</v>
      </c>
      <c r="Q9">
        <v>1</v>
      </c>
    </row>
    <row r="10" spans="1:18" x14ac:dyDescent="0.45">
      <c r="A10" s="5">
        <v>7</v>
      </c>
      <c r="D10">
        <v>11</v>
      </c>
      <c r="E10" s="9">
        <v>1</v>
      </c>
      <c r="F10">
        <v>1</v>
      </c>
      <c r="H10">
        <v>9</v>
      </c>
      <c r="I10" s="10">
        <v>1</v>
      </c>
      <c r="L10">
        <v>-1</v>
      </c>
      <c r="N10">
        <v>11</v>
      </c>
      <c r="O10">
        <v>1</v>
      </c>
      <c r="P10">
        <v>11</v>
      </c>
      <c r="Q10">
        <v>1</v>
      </c>
    </row>
    <row r="11" spans="1:18" x14ac:dyDescent="0.45">
      <c r="A11" s="5">
        <v>8</v>
      </c>
      <c r="B11">
        <v>12</v>
      </c>
      <c r="C11">
        <v>1</v>
      </c>
      <c r="D11">
        <v>12</v>
      </c>
      <c r="E11">
        <v>2</v>
      </c>
      <c r="H11">
        <v>10</v>
      </c>
      <c r="I11" s="10">
        <v>1</v>
      </c>
      <c r="L11">
        <v>-1</v>
      </c>
      <c r="N11">
        <v>12</v>
      </c>
      <c r="O11">
        <v>2</v>
      </c>
      <c r="P11">
        <v>12</v>
      </c>
      <c r="Q11">
        <v>1</v>
      </c>
    </row>
    <row r="12" spans="1:18" x14ac:dyDescent="0.45">
      <c r="A12" s="5">
        <v>9</v>
      </c>
      <c r="B12">
        <v>13</v>
      </c>
      <c r="C12">
        <v>2</v>
      </c>
      <c r="D12">
        <v>13</v>
      </c>
      <c r="E12">
        <v>1</v>
      </c>
      <c r="H12">
        <v>11</v>
      </c>
      <c r="I12" s="10">
        <v>1</v>
      </c>
      <c r="L12">
        <v>-1</v>
      </c>
      <c r="N12">
        <v>14</v>
      </c>
      <c r="O12">
        <v>1</v>
      </c>
      <c r="P12">
        <v>14</v>
      </c>
      <c r="Q12">
        <v>2</v>
      </c>
    </row>
    <row r="13" spans="1:18" x14ac:dyDescent="0.45">
      <c r="A13" s="5">
        <v>10</v>
      </c>
      <c r="B13">
        <v>14</v>
      </c>
      <c r="C13" s="10">
        <v>1</v>
      </c>
      <c r="F13">
        <v>-1</v>
      </c>
      <c r="H13">
        <v>12</v>
      </c>
      <c r="I13">
        <v>2</v>
      </c>
      <c r="J13">
        <v>12</v>
      </c>
      <c r="K13">
        <v>2</v>
      </c>
      <c r="N13">
        <v>16</v>
      </c>
      <c r="O13" s="10">
        <v>1</v>
      </c>
      <c r="R13">
        <v>-1</v>
      </c>
    </row>
    <row r="14" spans="1:18" x14ac:dyDescent="0.45">
      <c r="A14" s="5">
        <v>11</v>
      </c>
      <c r="B14">
        <v>17</v>
      </c>
      <c r="C14" s="10">
        <v>1</v>
      </c>
      <c r="F14">
        <v>-1</v>
      </c>
      <c r="J14">
        <v>13</v>
      </c>
      <c r="K14" s="9">
        <v>1</v>
      </c>
      <c r="L14">
        <v>1</v>
      </c>
      <c r="N14">
        <v>18</v>
      </c>
      <c r="O14">
        <v>1</v>
      </c>
      <c r="P14">
        <v>18</v>
      </c>
      <c r="Q14">
        <v>3</v>
      </c>
    </row>
    <row r="15" spans="1:18" x14ac:dyDescent="0.45">
      <c r="A15" s="5">
        <v>12</v>
      </c>
      <c r="B15">
        <v>18</v>
      </c>
      <c r="C15">
        <v>4</v>
      </c>
      <c r="D15">
        <v>18</v>
      </c>
      <c r="E15">
        <v>2</v>
      </c>
      <c r="H15">
        <v>15</v>
      </c>
      <c r="I15">
        <v>1</v>
      </c>
      <c r="J15">
        <v>15</v>
      </c>
      <c r="K15">
        <v>1</v>
      </c>
      <c r="P15">
        <v>19</v>
      </c>
      <c r="Q15" s="9">
        <v>1</v>
      </c>
      <c r="R15">
        <v>1</v>
      </c>
    </row>
    <row r="16" spans="1:18" x14ac:dyDescent="0.45">
      <c r="A16" s="5">
        <v>13</v>
      </c>
      <c r="B16">
        <v>19</v>
      </c>
      <c r="C16" s="10">
        <v>1</v>
      </c>
      <c r="F16">
        <v>-1</v>
      </c>
      <c r="H16">
        <v>16</v>
      </c>
      <c r="I16" s="10">
        <v>1</v>
      </c>
      <c r="L16">
        <v>-1</v>
      </c>
      <c r="N16">
        <v>20</v>
      </c>
      <c r="O16">
        <v>2</v>
      </c>
      <c r="P16">
        <v>20</v>
      </c>
      <c r="Q16">
        <v>1</v>
      </c>
    </row>
    <row r="17" spans="1:18" x14ac:dyDescent="0.45">
      <c r="A17" s="5">
        <v>14</v>
      </c>
      <c r="D17">
        <v>20</v>
      </c>
      <c r="E17" s="9">
        <v>1</v>
      </c>
      <c r="F17">
        <v>1</v>
      </c>
      <c r="J17">
        <v>17</v>
      </c>
      <c r="K17" s="9">
        <v>1</v>
      </c>
      <c r="L17">
        <v>1</v>
      </c>
      <c r="N17">
        <v>23</v>
      </c>
      <c r="O17" s="10">
        <v>2</v>
      </c>
      <c r="R17">
        <v>-1</v>
      </c>
    </row>
    <row r="18" spans="1:18" x14ac:dyDescent="0.45">
      <c r="A18" s="5">
        <v>15</v>
      </c>
      <c r="D18">
        <v>21</v>
      </c>
      <c r="E18" s="9">
        <v>1</v>
      </c>
      <c r="F18">
        <v>1</v>
      </c>
      <c r="H18">
        <v>20</v>
      </c>
      <c r="I18">
        <v>3</v>
      </c>
      <c r="J18">
        <v>20</v>
      </c>
      <c r="K18">
        <v>3</v>
      </c>
      <c r="P18">
        <v>24</v>
      </c>
      <c r="Q18" s="9">
        <v>1</v>
      </c>
      <c r="R18">
        <v>1</v>
      </c>
    </row>
    <row r="19" spans="1:18" x14ac:dyDescent="0.45">
      <c r="A19" s="5">
        <v>16</v>
      </c>
      <c r="B19">
        <v>24</v>
      </c>
      <c r="C19" s="10">
        <v>1</v>
      </c>
      <c r="F19">
        <v>-1</v>
      </c>
      <c r="H19">
        <v>21</v>
      </c>
      <c r="I19" s="10">
        <v>1</v>
      </c>
      <c r="L19">
        <v>-1</v>
      </c>
      <c r="N19">
        <v>25</v>
      </c>
      <c r="O19">
        <v>1</v>
      </c>
      <c r="P19">
        <v>25</v>
      </c>
      <c r="Q19">
        <v>3</v>
      </c>
    </row>
    <row r="20" spans="1:18" x14ac:dyDescent="0.45">
      <c r="A20" s="5">
        <v>17</v>
      </c>
      <c r="B20">
        <v>25</v>
      </c>
      <c r="C20">
        <v>4</v>
      </c>
      <c r="D20">
        <v>25</v>
      </c>
      <c r="E20">
        <v>1</v>
      </c>
      <c r="H20">
        <v>22</v>
      </c>
      <c r="I20">
        <v>1</v>
      </c>
      <c r="J20">
        <v>22</v>
      </c>
      <c r="K20">
        <v>1</v>
      </c>
      <c r="N20">
        <v>27</v>
      </c>
      <c r="O20">
        <v>1</v>
      </c>
      <c r="P20">
        <v>27</v>
      </c>
      <c r="Q20">
        <v>1</v>
      </c>
    </row>
    <row r="21" spans="1:18" x14ac:dyDescent="0.45">
      <c r="A21" s="5">
        <v>18</v>
      </c>
      <c r="B21">
        <v>26</v>
      </c>
      <c r="C21" s="10">
        <v>1</v>
      </c>
      <c r="F21">
        <v>-1</v>
      </c>
      <c r="J21">
        <v>23</v>
      </c>
      <c r="K21" s="9">
        <v>2</v>
      </c>
      <c r="L21">
        <v>1</v>
      </c>
      <c r="P21">
        <v>28</v>
      </c>
      <c r="Q21" s="9">
        <v>1</v>
      </c>
      <c r="R21">
        <v>1</v>
      </c>
    </row>
    <row r="22" spans="1:18" x14ac:dyDescent="0.45">
      <c r="A22" s="5">
        <v>19</v>
      </c>
      <c r="B22">
        <v>30</v>
      </c>
      <c r="C22" s="10">
        <v>1</v>
      </c>
      <c r="F22">
        <v>-1</v>
      </c>
      <c r="J22">
        <v>25</v>
      </c>
      <c r="K22" s="9">
        <v>1</v>
      </c>
      <c r="L22">
        <v>1</v>
      </c>
      <c r="P22">
        <v>30</v>
      </c>
      <c r="Q22" s="9">
        <v>1</v>
      </c>
      <c r="R22">
        <v>1</v>
      </c>
    </row>
    <row r="23" spans="1:18" x14ac:dyDescent="0.45">
      <c r="A23" s="5">
        <v>20</v>
      </c>
      <c r="D23">
        <v>32</v>
      </c>
      <c r="E23" s="9">
        <v>1</v>
      </c>
      <c r="F23">
        <v>1</v>
      </c>
      <c r="J23">
        <v>26</v>
      </c>
      <c r="K23" s="9">
        <v>1</v>
      </c>
      <c r="L23">
        <v>1</v>
      </c>
      <c r="N23">
        <v>31</v>
      </c>
      <c r="O23">
        <v>1</v>
      </c>
      <c r="P23">
        <v>31</v>
      </c>
      <c r="Q23">
        <v>1</v>
      </c>
    </row>
    <row r="24" spans="1:18" x14ac:dyDescent="0.45">
      <c r="A24" s="5">
        <v>21</v>
      </c>
      <c r="D24">
        <v>33</v>
      </c>
      <c r="E24" s="9">
        <v>1</v>
      </c>
      <c r="F24">
        <v>1</v>
      </c>
      <c r="H24">
        <v>27</v>
      </c>
      <c r="I24">
        <v>1</v>
      </c>
      <c r="J24">
        <v>27</v>
      </c>
      <c r="K24">
        <v>1</v>
      </c>
      <c r="N24">
        <v>32</v>
      </c>
      <c r="O24" s="10">
        <v>1</v>
      </c>
      <c r="R24">
        <v>-1</v>
      </c>
    </row>
    <row r="25" spans="1:18" x14ac:dyDescent="0.45">
      <c r="A25" s="5">
        <v>22</v>
      </c>
      <c r="B25">
        <v>34</v>
      </c>
      <c r="C25">
        <v>1</v>
      </c>
      <c r="D25">
        <v>34</v>
      </c>
      <c r="E25">
        <v>2</v>
      </c>
      <c r="H25">
        <v>28</v>
      </c>
      <c r="I25">
        <v>2</v>
      </c>
      <c r="J25">
        <v>28</v>
      </c>
      <c r="K25">
        <v>1</v>
      </c>
      <c r="N25">
        <v>33</v>
      </c>
      <c r="O25" s="10">
        <v>1</v>
      </c>
      <c r="R25">
        <v>-1</v>
      </c>
    </row>
    <row r="26" spans="1:18" x14ac:dyDescent="0.45">
      <c r="A26" s="5">
        <v>23</v>
      </c>
      <c r="D26">
        <v>38</v>
      </c>
      <c r="E26" s="9">
        <v>2</v>
      </c>
      <c r="F26">
        <v>1</v>
      </c>
      <c r="H26">
        <v>29</v>
      </c>
      <c r="I26">
        <v>1</v>
      </c>
      <c r="J26">
        <v>29</v>
      </c>
      <c r="K26">
        <v>1</v>
      </c>
      <c r="N26">
        <v>34</v>
      </c>
      <c r="O26">
        <v>1</v>
      </c>
      <c r="P26">
        <v>34</v>
      </c>
      <c r="Q26">
        <v>2</v>
      </c>
    </row>
    <row r="27" spans="1:18" x14ac:dyDescent="0.45">
      <c r="A27" s="5">
        <v>24</v>
      </c>
      <c r="B27">
        <v>40</v>
      </c>
      <c r="C27" s="10">
        <v>1</v>
      </c>
      <c r="F27">
        <v>-1</v>
      </c>
      <c r="H27">
        <v>30</v>
      </c>
      <c r="I27">
        <v>1</v>
      </c>
      <c r="J27">
        <v>30</v>
      </c>
      <c r="K27">
        <v>1</v>
      </c>
      <c r="N27">
        <v>35</v>
      </c>
      <c r="O27" s="10">
        <v>1</v>
      </c>
      <c r="R27">
        <v>-1</v>
      </c>
    </row>
    <row r="28" spans="1:18" x14ac:dyDescent="0.45">
      <c r="A28" s="5">
        <v>25</v>
      </c>
      <c r="B28">
        <v>41</v>
      </c>
      <c r="C28">
        <v>4</v>
      </c>
      <c r="D28">
        <v>41</v>
      </c>
      <c r="E28">
        <v>1</v>
      </c>
      <c r="H28">
        <v>31</v>
      </c>
      <c r="I28">
        <v>1</v>
      </c>
      <c r="J28">
        <v>31</v>
      </c>
      <c r="K28">
        <v>1</v>
      </c>
      <c r="N28">
        <v>36</v>
      </c>
      <c r="O28" s="10">
        <v>1</v>
      </c>
      <c r="R28">
        <v>-1</v>
      </c>
    </row>
    <row r="29" spans="1:18" x14ac:dyDescent="0.45">
      <c r="A29" s="5">
        <v>26</v>
      </c>
      <c r="B29">
        <v>42</v>
      </c>
      <c r="C29" s="10">
        <v>1</v>
      </c>
      <c r="F29">
        <v>-1</v>
      </c>
      <c r="H29">
        <v>32</v>
      </c>
      <c r="I29">
        <v>1</v>
      </c>
      <c r="J29">
        <v>32</v>
      </c>
      <c r="K29">
        <v>1</v>
      </c>
      <c r="N29">
        <v>39</v>
      </c>
      <c r="O29" s="10">
        <v>1</v>
      </c>
      <c r="R29">
        <v>-1</v>
      </c>
    </row>
    <row r="30" spans="1:18" x14ac:dyDescent="0.45">
      <c r="A30" s="5">
        <v>27</v>
      </c>
      <c r="B30">
        <v>43</v>
      </c>
      <c r="C30" s="10">
        <v>1</v>
      </c>
      <c r="F30">
        <v>-1</v>
      </c>
      <c r="H30">
        <v>33</v>
      </c>
      <c r="I30">
        <v>1</v>
      </c>
      <c r="J30">
        <v>33</v>
      </c>
      <c r="K30">
        <v>1</v>
      </c>
      <c r="N30">
        <v>41</v>
      </c>
      <c r="O30">
        <v>1</v>
      </c>
      <c r="P30">
        <v>41</v>
      </c>
      <c r="Q30">
        <v>3</v>
      </c>
    </row>
    <row r="31" spans="1:18" x14ac:dyDescent="0.45">
      <c r="A31" s="5">
        <v>28</v>
      </c>
      <c r="B31">
        <v>44</v>
      </c>
      <c r="C31">
        <v>1</v>
      </c>
      <c r="D31">
        <v>44</v>
      </c>
      <c r="E31">
        <v>1</v>
      </c>
      <c r="H31">
        <v>34</v>
      </c>
      <c r="I31">
        <v>3</v>
      </c>
      <c r="J31">
        <v>34</v>
      </c>
      <c r="K31">
        <v>1</v>
      </c>
      <c r="N31">
        <v>42</v>
      </c>
      <c r="O31" s="10">
        <v>1</v>
      </c>
      <c r="R31">
        <v>-1</v>
      </c>
    </row>
    <row r="32" spans="1:18" x14ac:dyDescent="0.45">
      <c r="A32" s="5">
        <v>29</v>
      </c>
      <c r="D32">
        <v>46</v>
      </c>
      <c r="E32" s="9">
        <v>1</v>
      </c>
      <c r="F32">
        <v>1</v>
      </c>
      <c r="H32">
        <v>35</v>
      </c>
      <c r="I32">
        <v>1</v>
      </c>
      <c r="J32">
        <v>35</v>
      </c>
      <c r="K32">
        <v>2</v>
      </c>
      <c r="N32">
        <v>43</v>
      </c>
      <c r="O32" s="10">
        <v>1</v>
      </c>
      <c r="R32">
        <v>-1</v>
      </c>
    </row>
    <row r="33" spans="1:18" x14ac:dyDescent="0.45">
      <c r="A33" s="5">
        <v>30</v>
      </c>
      <c r="B33">
        <v>47</v>
      </c>
      <c r="C33">
        <v>2</v>
      </c>
      <c r="D33">
        <v>47</v>
      </c>
      <c r="E33">
        <v>1</v>
      </c>
      <c r="J33">
        <v>36</v>
      </c>
      <c r="K33" s="9">
        <v>1</v>
      </c>
      <c r="L33">
        <v>1</v>
      </c>
      <c r="N33">
        <v>44</v>
      </c>
      <c r="O33" s="10">
        <v>1</v>
      </c>
      <c r="R33">
        <v>-1</v>
      </c>
    </row>
    <row r="34" spans="1:18" x14ac:dyDescent="0.45">
      <c r="A34" s="5">
        <v>31</v>
      </c>
      <c r="B34">
        <v>49</v>
      </c>
      <c r="C34" s="10">
        <v>1</v>
      </c>
      <c r="F34">
        <v>-1</v>
      </c>
      <c r="H34">
        <v>37</v>
      </c>
      <c r="I34">
        <v>1</v>
      </c>
      <c r="J34">
        <v>37</v>
      </c>
      <c r="K34">
        <v>1</v>
      </c>
      <c r="P34">
        <v>47</v>
      </c>
      <c r="Q34" s="9">
        <v>1</v>
      </c>
      <c r="R34">
        <v>1</v>
      </c>
    </row>
    <row r="35" spans="1:18" x14ac:dyDescent="0.45">
      <c r="A35" s="5">
        <v>32</v>
      </c>
      <c r="H35">
        <v>38</v>
      </c>
      <c r="I35" s="10">
        <v>2</v>
      </c>
      <c r="L35">
        <v>-1</v>
      </c>
      <c r="N35">
        <v>48</v>
      </c>
      <c r="O35" s="10">
        <v>1</v>
      </c>
      <c r="R35">
        <v>-1</v>
      </c>
    </row>
    <row r="36" spans="1:18" x14ac:dyDescent="0.45">
      <c r="A36" s="5">
        <v>33</v>
      </c>
      <c r="H36">
        <v>39</v>
      </c>
      <c r="I36" s="10">
        <v>1</v>
      </c>
      <c r="L36">
        <v>-1</v>
      </c>
      <c r="N36">
        <v>50</v>
      </c>
      <c r="O36">
        <v>1</v>
      </c>
      <c r="P36">
        <v>50</v>
      </c>
      <c r="Q36">
        <v>1</v>
      </c>
    </row>
    <row r="37" spans="1:18" x14ac:dyDescent="0.45">
      <c r="A37" s="5">
        <v>34</v>
      </c>
      <c r="J37">
        <v>40</v>
      </c>
      <c r="K37" s="9">
        <v>1</v>
      </c>
      <c r="L37">
        <v>1</v>
      </c>
    </row>
    <row r="38" spans="1:18" x14ac:dyDescent="0.45">
      <c r="A38" s="5">
        <v>35</v>
      </c>
      <c r="J38">
        <v>41</v>
      </c>
      <c r="K38" s="9">
        <v>1</v>
      </c>
      <c r="L38">
        <v>1</v>
      </c>
    </row>
    <row r="39" spans="1:18" x14ac:dyDescent="0.45">
      <c r="A39" s="5">
        <v>36</v>
      </c>
      <c r="J39">
        <v>44</v>
      </c>
      <c r="K39" s="9">
        <v>1</v>
      </c>
      <c r="L39">
        <v>1</v>
      </c>
      <c r="N39" s="17"/>
    </row>
    <row r="40" spans="1:18" x14ac:dyDescent="0.45">
      <c r="A40" s="5">
        <v>37</v>
      </c>
      <c r="J40">
        <v>45</v>
      </c>
      <c r="K40" s="9">
        <v>1</v>
      </c>
      <c r="L40">
        <v>1</v>
      </c>
    </row>
    <row r="41" spans="1:18" x14ac:dyDescent="0.45">
      <c r="A41" s="5">
        <v>38</v>
      </c>
      <c r="H41">
        <v>45</v>
      </c>
      <c r="I41" s="10">
        <v>1</v>
      </c>
      <c r="L41">
        <v>-1</v>
      </c>
    </row>
    <row r="42" spans="1:18" x14ac:dyDescent="0.45">
      <c r="A42" s="5">
        <v>39</v>
      </c>
      <c r="H42">
        <v>46</v>
      </c>
      <c r="I42" s="10">
        <v>1</v>
      </c>
      <c r="L42">
        <v>-1</v>
      </c>
    </row>
    <row r="43" spans="1:18" x14ac:dyDescent="0.45">
      <c r="A43" s="5">
        <v>40</v>
      </c>
      <c r="H43">
        <v>48</v>
      </c>
      <c r="I43" s="10">
        <v>1</v>
      </c>
      <c r="L43">
        <v>-1</v>
      </c>
    </row>
    <row r="44" spans="1:18" x14ac:dyDescent="0.45">
      <c r="A44" s="5">
        <v>41</v>
      </c>
      <c r="H44">
        <v>49</v>
      </c>
      <c r="I44" s="10">
        <v>1</v>
      </c>
      <c r="L44">
        <v>-1</v>
      </c>
    </row>
    <row r="45" spans="1:18" x14ac:dyDescent="0.45">
      <c r="B45" s="3">
        <f>COUNT(B4:B34)</f>
        <v>21</v>
      </c>
      <c r="D45" s="3">
        <f>COUNT(D4:D34)</f>
        <v>19</v>
      </c>
      <c r="E45" s="11" t="s">
        <v>11</v>
      </c>
      <c r="F45" s="3">
        <f>COUNT(F4:F34)</f>
        <v>22</v>
      </c>
      <c r="H45" s="3">
        <f>COUNT(H4:H44)</f>
        <v>30</v>
      </c>
      <c r="J45" s="3">
        <f>COUNT(J4:J44)</f>
        <v>29</v>
      </c>
      <c r="K45" s="11" t="s">
        <v>11</v>
      </c>
      <c r="L45" s="3">
        <f>COUNT(L4:L44)</f>
        <v>23</v>
      </c>
      <c r="N45" s="3">
        <f>COUNT(N4:N36)</f>
        <v>27</v>
      </c>
      <c r="P45" s="3">
        <f>COUNT(P4:P36)</f>
        <v>21</v>
      </c>
      <c r="Q45" s="11" t="s">
        <v>11</v>
      </c>
      <c r="R45" s="3">
        <f>COUNT(R4:R36)</f>
        <v>18</v>
      </c>
    </row>
    <row r="46" spans="1:18" x14ac:dyDescent="0.45">
      <c r="E46" s="11" t="s">
        <v>12</v>
      </c>
      <c r="F46">
        <f>COUNTIF(F4:F44,"&lt;0")</f>
        <v>12</v>
      </c>
      <c r="K46" s="11" t="s">
        <v>12</v>
      </c>
      <c r="L46">
        <f>COUNTIF(L4:L44,"&lt;0")</f>
        <v>12</v>
      </c>
      <c r="Q46" s="11" t="s">
        <v>12</v>
      </c>
      <c r="R46">
        <f>COUNTIF(R4:R44,"&lt;0")</f>
        <v>12</v>
      </c>
    </row>
    <row r="47" spans="1:18" x14ac:dyDescent="0.45">
      <c r="E47" s="11" t="s">
        <v>13</v>
      </c>
      <c r="F47">
        <f>COUNTIF(F4:F44,"&gt;0")</f>
        <v>10</v>
      </c>
      <c r="K47" s="11" t="s">
        <v>13</v>
      </c>
      <c r="L47">
        <f>COUNTIF(L4:L44,"&gt;0")</f>
        <v>11</v>
      </c>
      <c r="Q47" s="11" t="s">
        <v>13</v>
      </c>
      <c r="R47">
        <f>COUNTIF(R4:R44,"&gt;0")</f>
        <v>6</v>
      </c>
    </row>
    <row r="49" spans="2:18" x14ac:dyDescent="0.45">
      <c r="B49" s="13"/>
      <c r="C49" s="13"/>
      <c r="D49" s="13"/>
      <c r="E49" s="12" t="s">
        <v>14</v>
      </c>
      <c r="F49" s="15">
        <f>(A34-F45)/B45</f>
        <v>0.42857142857142855</v>
      </c>
      <c r="H49" s="13"/>
      <c r="I49" s="13"/>
      <c r="J49" s="13"/>
      <c r="K49" s="12" t="s">
        <v>14</v>
      </c>
      <c r="L49" s="16">
        <f>(A44-L45)/H45</f>
        <v>0.6</v>
      </c>
      <c r="N49" s="13"/>
      <c r="O49" s="13"/>
      <c r="P49" s="13"/>
      <c r="Q49" s="12" t="s">
        <v>14</v>
      </c>
      <c r="R49" s="13">
        <f>(A36-R45)/N45</f>
        <v>0.55555555555555558</v>
      </c>
    </row>
    <row r="50" spans="2:18" x14ac:dyDescent="0.45">
      <c r="L50" s="8" t="s">
        <v>10</v>
      </c>
    </row>
  </sheetData>
  <mergeCells count="12">
    <mergeCell ref="P2:Q2"/>
    <mergeCell ref="B1:C1"/>
    <mergeCell ref="D1:E1"/>
    <mergeCell ref="H1:I1"/>
    <mergeCell ref="J1:K1"/>
    <mergeCell ref="N1:O1"/>
    <mergeCell ref="P1:Q1"/>
    <mergeCell ref="B2:C2"/>
    <mergeCell ref="D2:E2"/>
    <mergeCell ref="H2:I2"/>
    <mergeCell ref="J2:K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</vt:lpstr>
      <vt:lpstr>starting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menon</dc:creator>
  <cp:lastModifiedBy>camilla menon</cp:lastModifiedBy>
  <dcterms:created xsi:type="dcterms:W3CDTF">2015-06-05T18:17:20Z</dcterms:created>
  <dcterms:modified xsi:type="dcterms:W3CDTF">2025-11-05T08:10:58Z</dcterms:modified>
</cp:coreProperties>
</file>