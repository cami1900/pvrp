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enon\Documents\pvrp\src\similarity_optimizer_test\"/>
    </mc:Choice>
  </mc:AlternateContent>
  <xr:revisionPtr revIDLastSave="0" documentId="13_ncr:1_{D8DD2507-C931-4BE3-B4B3-79B21E57AEFC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opt" sheetId="1" r:id="rId1"/>
    <sheet name="starting" sheetId="2" r:id="rId2"/>
    <sheet name="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3" l="1"/>
  <c r="T6" i="3" s="1"/>
  <c r="T4" i="3"/>
  <c r="S5" i="3"/>
  <c r="S6" i="3" s="1"/>
  <c r="S4" i="3"/>
  <c r="R5" i="3"/>
  <c r="U5" i="3" s="1"/>
  <c r="R4" i="3"/>
  <c r="U4" i="3" s="1"/>
  <c r="P5" i="3"/>
  <c r="P6" i="3" s="1"/>
  <c r="O5" i="3"/>
  <c r="N5" i="3"/>
  <c r="M5" i="3"/>
  <c r="L5" i="3"/>
  <c r="K5" i="3"/>
  <c r="P4" i="3"/>
  <c r="O4" i="3"/>
  <c r="N4" i="3"/>
  <c r="M4" i="3"/>
  <c r="L4" i="3"/>
  <c r="K4" i="3"/>
  <c r="K6" i="3" s="1"/>
  <c r="N11" i="3"/>
  <c r="P12" i="3"/>
  <c r="O12" i="3"/>
  <c r="O13" i="3" s="1"/>
  <c r="N12" i="3"/>
  <c r="M12" i="3"/>
  <c r="M13" i="3" s="1"/>
  <c r="L12" i="3"/>
  <c r="K12" i="3"/>
  <c r="P11" i="3"/>
  <c r="O11" i="3"/>
  <c r="M11" i="3"/>
  <c r="L11" i="3"/>
  <c r="K11" i="3"/>
  <c r="G12" i="3"/>
  <c r="F12" i="3"/>
  <c r="E12" i="3"/>
  <c r="D12" i="3"/>
  <c r="C12" i="3"/>
  <c r="B12" i="3"/>
  <c r="B13" i="3" s="1"/>
  <c r="G11" i="3"/>
  <c r="F11" i="3"/>
  <c r="E11" i="3"/>
  <c r="D11" i="3"/>
  <c r="C11" i="3"/>
  <c r="B11" i="3"/>
  <c r="U35" i="1"/>
  <c r="S35" i="1"/>
  <c r="M35" i="1"/>
  <c r="K35" i="1"/>
  <c r="E35" i="1"/>
  <c r="C35" i="1"/>
  <c r="U40" i="2"/>
  <c r="S40" i="2"/>
  <c r="M40" i="2"/>
  <c r="K40" i="2"/>
  <c r="E40" i="2"/>
  <c r="C40" i="2"/>
  <c r="G5" i="3"/>
  <c r="F5" i="3"/>
  <c r="E5" i="3"/>
  <c r="D5" i="3"/>
  <c r="C5" i="3"/>
  <c r="B5" i="3"/>
  <c r="G4" i="3"/>
  <c r="F4" i="3"/>
  <c r="E4" i="3"/>
  <c r="D4" i="3"/>
  <c r="C4" i="3"/>
  <c r="B4" i="3"/>
  <c r="O38" i="2"/>
  <c r="P38" i="2"/>
  <c r="O39" i="2"/>
  <c r="P39" i="2"/>
  <c r="X28" i="1"/>
  <c r="W28" i="1"/>
  <c r="X27" i="1"/>
  <c r="W27" i="1"/>
  <c r="X26" i="1"/>
  <c r="W26" i="1"/>
  <c r="X25" i="1"/>
  <c r="W25" i="1"/>
  <c r="X24" i="1"/>
  <c r="W24" i="1"/>
  <c r="X23" i="1"/>
  <c r="W23" i="1"/>
  <c r="X22" i="1"/>
  <c r="W22" i="1"/>
  <c r="X21" i="1"/>
  <c r="W21" i="1"/>
  <c r="X20" i="1"/>
  <c r="W20" i="1"/>
  <c r="X19" i="1"/>
  <c r="W19" i="1"/>
  <c r="X18" i="1"/>
  <c r="W18" i="1"/>
  <c r="X17" i="1"/>
  <c r="W17" i="1"/>
  <c r="X16" i="1"/>
  <c r="W16" i="1"/>
  <c r="X15" i="1"/>
  <c r="W15" i="1"/>
  <c r="X14" i="1"/>
  <c r="W14" i="1"/>
  <c r="X13" i="1"/>
  <c r="W13" i="1"/>
  <c r="X12" i="1"/>
  <c r="W12" i="1"/>
  <c r="X11" i="1"/>
  <c r="W11" i="1"/>
  <c r="X10" i="1"/>
  <c r="W10" i="1"/>
  <c r="X9" i="1"/>
  <c r="W9" i="1"/>
  <c r="X8" i="1"/>
  <c r="W8" i="1"/>
  <c r="X7" i="1"/>
  <c r="W7" i="1"/>
  <c r="X6" i="1"/>
  <c r="W6" i="1"/>
  <c r="X5" i="1"/>
  <c r="W5" i="1"/>
  <c r="X4" i="1"/>
  <c r="X35" i="1" s="1"/>
  <c r="X37" i="1" s="1"/>
  <c r="W4" i="1"/>
  <c r="W35" i="1" s="1"/>
  <c r="W36" i="1" s="1"/>
  <c r="P6" i="1"/>
  <c r="O4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O6" i="1"/>
  <c r="P5" i="1"/>
  <c r="P35" i="1" s="1"/>
  <c r="O5" i="1"/>
  <c r="P4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X35" i="2"/>
  <c r="W35" i="2"/>
  <c r="X34" i="2"/>
  <c r="W34" i="2"/>
  <c r="X33" i="2"/>
  <c r="W33" i="2"/>
  <c r="X32" i="2"/>
  <c r="W32" i="2"/>
  <c r="X31" i="2"/>
  <c r="W31" i="2"/>
  <c r="X30" i="2"/>
  <c r="W30" i="2"/>
  <c r="X29" i="2"/>
  <c r="W29" i="2"/>
  <c r="X28" i="2"/>
  <c r="W28" i="2"/>
  <c r="X27" i="2"/>
  <c r="W27" i="2"/>
  <c r="X26" i="2"/>
  <c r="W26" i="2"/>
  <c r="X25" i="2"/>
  <c r="W25" i="2"/>
  <c r="X24" i="2"/>
  <c r="W24" i="2"/>
  <c r="X23" i="2"/>
  <c r="W23" i="2"/>
  <c r="X22" i="2"/>
  <c r="W22" i="2"/>
  <c r="X21" i="2"/>
  <c r="W21" i="2"/>
  <c r="X20" i="2"/>
  <c r="W20" i="2"/>
  <c r="X19" i="2"/>
  <c r="W19" i="2"/>
  <c r="X18" i="2"/>
  <c r="W18" i="2"/>
  <c r="X17" i="2"/>
  <c r="W17" i="2"/>
  <c r="X16" i="2"/>
  <c r="W16" i="2"/>
  <c r="X15" i="2"/>
  <c r="W15" i="2"/>
  <c r="X14" i="2"/>
  <c r="W14" i="2"/>
  <c r="X13" i="2"/>
  <c r="W13" i="2"/>
  <c r="X12" i="2"/>
  <c r="W12" i="2"/>
  <c r="X11" i="2"/>
  <c r="W11" i="2"/>
  <c r="X10" i="2"/>
  <c r="W10" i="2"/>
  <c r="X9" i="2"/>
  <c r="W9" i="2"/>
  <c r="X8" i="2"/>
  <c r="W8" i="2"/>
  <c r="X7" i="2"/>
  <c r="W7" i="2"/>
  <c r="X6" i="2"/>
  <c r="W6" i="2"/>
  <c r="X5" i="2"/>
  <c r="W5" i="2"/>
  <c r="X4" i="2"/>
  <c r="X40" i="2" s="1"/>
  <c r="X42" i="2" s="1"/>
  <c r="W4" i="2"/>
  <c r="W40" i="2" s="1"/>
  <c r="W41" i="2" s="1"/>
  <c r="P37" i="2"/>
  <c r="O37" i="2"/>
  <c r="P36" i="2"/>
  <c r="O36" i="2"/>
  <c r="P35" i="2"/>
  <c r="O35" i="2"/>
  <c r="P34" i="2"/>
  <c r="O34" i="2"/>
  <c r="P33" i="2"/>
  <c r="O33" i="2"/>
  <c r="P32" i="2"/>
  <c r="O32" i="2"/>
  <c r="P31" i="2"/>
  <c r="O31" i="2"/>
  <c r="P30" i="2"/>
  <c r="O30" i="2"/>
  <c r="P29" i="2"/>
  <c r="O29" i="2"/>
  <c r="P28" i="2"/>
  <c r="O28" i="2"/>
  <c r="P27" i="2"/>
  <c r="O27" i="2"/>
  <c r="P26" i="2"/>
  <c r="O26" i="2"/>
  <c r="P25" i="2"/>
  <c r="O25" i="2"/>
  <c r="P24" i="2"/>
  <c r="O24" i="2"/>
  <c r="P23" i="2"/>
  <c r="O23" i="2"/>
  <c r="P22" i="2"/>
  <c r="O22" i="2"/>
  <c r="P21" i="2"/>
  <c r="O21" i="2"/>
  <c r="P20" i="2"/>
  <c r="O20" i="2"/>
  <c r="P19" i="2"/>
  <c r="O19" i="2"/>
  <c r="P18" i="2"/>
  <c r="O18" i="2"/>
  <c r="P17" i="2"/>
  <c r="O17" i="2"/>
  <c r="P16" i="2"/>
  <c r="O16" i="2"/>
  <c r="P15" i="2"/>
  <c r="O15" i="2"/>
  <c r="P14" i="2"/>
  <c r="O14" i="2"/>
  <c r="P13" i="2"/>
  <c r="O13" i="2"/>
  <c r="P12" i="2"/>
  <c r="O12" i="2"/>
  <c r="P11" i="2"/>
  <c r="O11" i="2"/>
  <c r="P10" i="2"/>
  <c r="O10" i="2"/>
  <c r="P9" i="2"/>
  <c r="O9" i="2"/>
  <c r="P8" i="2"/>
  <c r="O8" i="2"/>
  <c r="P7" i="2"/>
  <c r="O7" i="2"/>
  <c r="P6" i="2"/>
  <c r="O6" i="2"/>
  <c r="P5" i="2"/>
  <c r="O5" i="2"/>
  <c r="P4" i="2"/>
  <c r="O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4" i="2"/>
  <c r="H40" i="2" s="1"/>
  <c r="H42" i="2" s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4" i="2"/>
  <c r="G40" i="2" s="1"/>
  <c r="G41" i="2" s="1"/>
  <c r="T40" i="2"/>
  <c r="J40" i="2"/>
  <c r="F42" i="2"/>
  <c r="F41" i="2"/>
  <c r="F40" i="2"/>
  <c r="D40" i="2"/>
  <c r="B40" i="2"/>
  <c r="L40" i="2"/>
  <c r="V42" i="2"/>
  <c r="N42" i="2"/>
  <c r="V41" i="2"/>
  <c r="N41" i="2"/>
  <c r="V40" i="2"/>
  <c r="R40" i="2"/>
  <c r="N40" i="2"/>
  <c r="V37" i="1"/>
  <c r="V36" i="1"/>
  <c r="V35" i="1"/>
  <c r="T35" i="1"/>
  <c r="R35" i="1"/>
  <c r="N37" i="1"/>
  <c r="N36" i="1"/>
  <c r="N35" i="1"/>
  <c r="L35" i="1"/>
  <c r="J35" i="1"/>
  <c r="F37" i="1"/>
  <c r="F36" i="1"/>
  <c r="F35" i="1"/>
  <c r="D35" i="1"/>
  <c r="B35" i="1"/>
  <c r="U6" i="3" l="1"/>
  <c r="F13" i="3"/>
  <c r="R6" i="3"/>
  <c r="L6" i="3"/>
  <c r="O6" i="3"/>
  <c r="N6" i="3"/>
  <c r="Q4" i="3"/>
  <c r="M6" i="3"/>
  <c r="Q5" i="3"/>
  <c r="E13" i="3"/>
  <c r="D13" i="3"/>
  <c r="N13" i="3"/>
  <c r="P13" i="3"/>
  <c r="Q11" i="3"/>
  <c r="L13" i="3"/>
  <c r="K13" i="3"/>
  <c r="Q12" i="3"/>
  <c r="G13" i="3"/>
  <c r="C13" i="3"/>
  <c r="H11" i="3"/>
  <c r="H12" i="3"/>
  <c r="B6" i="3"/>
  <c r="C6" i="3"/>
  <c r="D6" i="3"/>
  <c r="E6" i="3"/>
  <c r="F6" i="3"/>
  <c r="H4" i="3"/>
  <c r="G6" i="3"/>
  <c r="H5" i="3"/>
  <c r="H6" i="3" s="1"/>
  <c r="O40" i="2"/>
  <c r="O41" i="2" s="1"/>
  <c r="P40" i="2"/>
  <c r="P42" i="2" s="1"/>
  <c r="O35" i="1"/>
  <c r="O36" i="1" s="1"/>
  <c r="P37" i="1"/>
  <c r="N39" i="1"/>
  <c r="G35" i="1"/>
  <c r="G36" i="1" s="1"/>
  <c r="H35" i="1"/>
  <c r="H37" i="1" s="1"/>
  <c r="V39" i="1"/>
  <c r="F44" i="2"/>
  <c r="N44" i="2"/>
  <c r="V44" i="2"/>
  <c r="F39" i="1"/>
  <c r="Q6" i="3" l="1"/>
  <c r="Q13" i="3"/>
  <c r="H13" i="3"/>
</calcChain>
</file>

<file path=xl/sharedStrings.xml><?xml version="1.0" encoding="utf-8"?>
<sst xmlns="http://schemas.openxmlformats.org/spreadsheetml/2006/main" count="160" uniqueCount="33">
  <si>
    <t>opt_base</t>
  </si>
  <si>
    <t>opt_new</t>
  </si>
  <si>
    <t>vehicle 1</t>
  </si>
  <si>
    <t>vehicle 3</t>
  </si>
  <si>
    <t>vehicle 2</t>
  </si>
  <si>
    <t>ID Client</t>
  </si>
  <si>
    <t>Ripetitions</t>
  </si>
  <si>
    <t>changes</t>
  </si>
  <si>
    <t>lost</t>
  </si>
  <si>
    <t>added</t>
  </si>
  <si>
    <t>sim value</t>
  </si>
  <si>
    <t>starting_base</t>
  </si>
  <si>
    <t>starting_new</t>
  </si>
  <si>
    <t>freq. Lost</t>
  </si>
  <si>
    <t>freq. add</t>
  </si>
  <si>
    <t>starting</t>
  </si>
  <si>
    <t>opt</t>
  </si>
  <si>
    <t>mean</t>
  </si>
  <si>
    <t>improve</t>
  </si>
  <si>
    <t>freq. lost</t>
  </si>
  <si>
    <t>freq. of lost/added customers</t>
  </si>
  <si>
    <t>freq. base</t>
  </si>
  <si>
    <t>freq. new</t>
  </si>
  <si>
    <t>freq. of  base/new customers</t>
  </si>
  <si>
    <t xml:space="preserve">number customers of  base/new </t>
  </si>
  <si>
    <t>number customers lost/added</t>
  </si>
  <si>
    <t>num. base</t>
  </si>
  <si>
    <t>num. new</t>
  </si>
  <si>
    <t>vehicle 1-1</t>
  </si>
  <si>
    <t>vehicle 3-3</t>
  </si>
  <si>
    <t>vehicle 2-2</t>
  </si>
  <si>
    <t>n. change</t>
  </si>
  <si>
    <t>number cistomers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</si>
</sst>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0" fontId="4" fillId="0" borderId="0" xfId="0" applyFont="1"/>
    <xf numFmtId="0" fontId="0" fillId="0" borderId="2" xfId="0" applyBorder="1"/>
    <xf numFmtId="0" fontId="5" fillId="0" borderId="0" xfId="0" applyFont="1" applyAlignment="1">
      <alignment horizontal="right"/>
    </xf>
    <xf numFmtId="0" fontId="0" fillId="0" borderId="3" xfId="0" applyBorder="1"/>
    <xf numFmtId="0" fontId="6" fillId="0" borderId="3" xfId="0" applyFont="1" applyBorder="1"/>
    <xf numFmtId="0" fontId="2" fillId="0" borderId="3" xfId="0" applyFont="1" applyBorder="1"/>
    <xf numFmtId="0" fontId="3" fillId="0" borderId="0" xfId="0" applyFont="1" applyBorder="1" applyAlignment="1">
      <alignment horizontal="center" vertical="top"/>
    </xf>
    <xf numFmtId="0" fontId="2" fillId="2" borderId="3" xfId="0" applyFont="1" applyFill="1" applyBorder="1"/>
    <xf numFmtId="0" fontId="2" fillId="0" borderId="3" xfId="0" applyFont="1" applyFill="1" applyBorder="1"/>
    <xf numFmtId="0" fontId="0" fillId="0" borderId="0" xfId="0" applyBorder="1"/>
    <xf numFmtId="0" fontId="2" fillId="0" borderId="0" xfId="0" applyFont="1" applyFill="1" applyBorder="1"/>
    <xf numFmtId="0" fontId="0" fillId="3" borderId="0" xfId="0" applyFill="1"/>
    <xf numFmtId="0" fontId="0" fillId="4" borderId="0" xfId="0" applyFill="1"/>
    <xf numFmtId="0" fontId="0" fillId="0" borderId="4" xfId="0" applyBorder="1"/>
    <xf numFmtId="0" fontId="5" fillId="0" borderId="0" xfId="0" applyFont="1" applyBorder="1" applyAlignment="1">
      <alignment horizontal="right"/>
    </xf>
    <xf numFmtId="0" fontId="6" fillId="0" borderId="0" xfId="0" applyFont="1" applyBorder="1"/>
    <xf numFmtId="0" fontId="2" fillId="0" borderId="0" xfId="0" applyFont="1" applyBorder="1"/>
    <xf numFmtId="9" fontId="0" fillId="0" borderId="3" xfId="1" applyFont="1" applyBorder="1"/>
    <xf numFmtId="9" fontId="0" fillId="0" borderId="5" xfId="1" applyFont="1" applyBorder="1"/>
    <xf numFmtId="0" fontId="2" fillId="0" borderId="6" xfId="0" applyFont="1" applyBorder="1"/>
    <xf numFmtId="0" fontId="8" fillId="0" borderId="2" xfId="0" applyFont="1" applyBorder="1" applyAlignment="1">
      <alignment horizontal="center" vertical="top"/>
    </xf>
    <xf numFmtId="0" fontId="6" fillId="5" borderId="0" xfId="0" applyFont="1" applyFill="1" applyAlignment="1">
      <alignment horizontal="center"/>
    </xf>
    <xf numFmtId="9" fontId="2" fillId="5" borderId="5" xfId="1" applyFont="1" applyFill="1" applyBorder="1"/>
    <xf numFmtId="0" fontId="6" fillId="3" borderId="0" xfId="0" applyFont="1" applyFill="1" applyAlignment="1">
      <alignment horizontal="center"/>
    </xf>
    <xf numFmtId="9" fontId="2" fillId="3" borderId="5" xfId="1" applyFont="1" applyFill="1" applyBorder="1"/>
    <xf numFmtId="0" fontId="0" fillId="0" borderId="0" xfId="0" applyFill="1"/>
    <xf numFmtId="0" fontId="6" fillId="3" borderId="4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8" fillId="0" borderId="6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"/>
  <sheetViews>
    <sheetView topLeftCell="E21" zoomScaleNormal="100" workbookViewId="0">
      <selection activeCell="J19" sqref="J19"/>
    </sheetView>
  </sheetViews>
  <sheetFormatPr defaultRowHeight="14.25" x14ac:dyDescent="0.45"/>
  <sheetData>
    <row r="1" spans="1:29" x14ac:dyDescent="0.45">
      <c r="B1" s="1" t="s">
        <v>0</v>
      </c>
      <c r="C1" s="1"/>
      <c r="D1" s="1" t="s">
        <v>1</v>
      </c>
      <c r="E1" s="1"/>
      <c r="F1" s="2"/>
      <c r="G1" s="2"/>
      <c r="H1" s="2"/>
      <c r="J1" s="1" t="s">
        <v>0</v>
      </c>
      <c r="K1" s="1"/>
      <c r="L1" s="1" t="s">
        <v>1</v>
      </c>
      <c r="M1" s="1"/>
      <c r="N1" s="2"/>
      <c r="O1" s="2"/>
      <c r="P1" s="2"/>
      <c r="R1" s="1" t="s">
        <v>0</v>
      </c>
      <c r="S1" s="1"/>
      <c r="T1" s="1" t="s">
        <v>1</v>
      </c>
      <c r="U1" s="1"/>
    </row>
    <row r="2" spans="1:29" x14ac:dyDescent="0.45">
      <c r="B2" s="3" t="s">
        <v>2</v>
      </c>
      <c r="C2" s="3"/>
      <c r="D2" s="3" t="s">
        <v>2</v>
      </c>
      <c r="E2" s="3"/>
      <c r="F2" s="2"/>
      <c r="G2" s="2"/>
      <c r="H2" s="2"/>
      <c r="J2" s="3" t="s">
        <v>4</v>
      </c>
      <c r="K2" s="3"/>
      <c r="L2" s="3" t="s">
        <v>4</v>
      </c>
      <c r="M2" s="3"/>
      <c r="N2" s="2"/>
      <c r="O2" s="2"/>
      <c r="P2" s="2"/>
      <c r="R2" s="3" t="s">
        <v>3</v>
      </c>
      <c r="S2" s="3"/>
      <c r="T2" s="3" t="s">
        <v>3</v>
      </c>
      <c r="U2" s="3"/>
    </row>
    <row r="3" spans="1:29" x14ac:dyDescent="0.45">
      <c r="B3" s="4" t="s">
        <v>5</v>
      </c>
      <c r="C3" s="4" t="s">
        <v>6</v>
      </c>
      <c r="D3" s="4" t="s">
        <v>5</v>
      </c>
      <c r="E3" s="4" t="s">
        <v>6</v>
      </c>
      <c r="F3" s="4" t="s">
        <v>7</v>
      </c>
      <c r="G3" s="4" t="s">
        <v>13</v>
      </c>
      <c r="H3" s="4" t="s">
        <v>14</v>
      </c>
      <c r="J3" s="4" t="s">
        <v>5</v>
      </c>
      <c r="K3" s="4" t="s">
        <v>6</v>
      </c>
      <c r="L3" s="4" t="s">
        <v>5</v>
      </c>
      <c r="M3" s="4" t="s">
        <v>6</v>
      </c>
      <c r="N3" s="4" t="s">
        <v>7</v>
      </c>
      <c r="O3" s="4" t="s">
        <v>13</v>
      </c>
      <c r="P3" s="4" t="s">
        <v>14</v>
      </c>
      <c r="R3" s="4" t="s">
        <v>5</v>
      </c>
      <c r="S3" s="4" t="s">
        <v>6</v>
      </c>
      <c r="T3" s="4" t="s">
        <v>5</v>
      </c>
      <c r="U3" s="4" t="s">
        <v>6</v>
      </c>
      <c r="V3" s="4" t="s">
        <v>7</v>
      </c>
      <c r="W3" s="4" t="s">
        <v>13</v>
      </c>
      <c r="X3" s="4" t="s">
        <v>14</v>
      </c>
      <c r="Y3" s="14"/>
      <c r="Z3" s="14"/>
      <c r="AA3" s="14"/>
      <c r="AB3" s="14"/>
      <c r="AC3" s="14"/>
    </row>
    <row r="4" spans="1:29" x14ac:dyDescent="0.45">
      <c r="A4" s="5">
        <v>1</v>
      </c>
      <c r="B4">
        <v>2</v>
      </c>
      <c r="C4">
        <v>2</v>
      </c>
      <c r="D4">
        <v>2</v>
      </c>
      <c r="E4">
        <v>3</v>
      </c>
      <c r="G4">
        <f>IF(F4&lt;0,C4,0)</f>
        <v>0</v>
      </c>
      <c r="H4">
        <f>IF(F4&gt;0,E4,0)</f>
        <v>0</v>
      </c>
      <c r="J4">
        <v>1</v>
      </c>
      <c r="K4">
        <v>1</v>
      </c>
      <c r="L4">
        <v>1</v>
      </c>
      <c r="M4">
        <v>1</v>
      </c>
      <c r="O4">
        <f>IF(N4&lt;0,K4,0)</f>
        <v>0</v>
      </c>
      <c r="P4">
        <f>IF(N4&gt;0,M4,0)</f>
        <v>0</v>
      </c>
      <c r="R4">
        <v>2</v>
      </c>
      <c r="S4">
        <v>1</v>
      </c>
      <c r="T4" s="11"/>
      <c r="U4" s="11"/>
      <c r="V4">
        <v>-1</v>
      </c>
      <c r="W4">
        <f>IF(V4&lt;0,S4,0)</f>
        <v>1</v>
      </c>
      <c r="X4">
        <f>IF(V4&gt;0,U4,0)</f>
        <v>0</v>
      </c>
      <c r="Y4" s="14"/>
      <c r="Z4" s="14"/>
      <c r="AA4" s="14"/>
      <c r="AB4" s="14"/>
      <c r="AC4" s="14"/>
    </row>
    <row r="5" spans="1:29" x14ac:dyDescent="0.45">
      <c r="A5" s="5">
        <v>2</v>
      </c>
      <c r="D5">
        <v>3</v>
      </c>
      <c r="E5">
        <v>2</v>
      </c>
      <c r="F5">
        <v>1</v>
      </c>
      <c r="G5">
        <f t="shared" ref="G5:G34" si="0">IF(F5&lt;0,C5,0)</f>
        <v>0</v>
      </c>
      <c r="H5">
        <f t="shared" ref="H5:H34" si="1">IF(F5&gt;0,E5,0)</f>
        <v>2</v>
      </c>
      <c r="J5">
        <v>2</v>
      </c>
      <c r="K5">
        <v>2</v>
      </c>
      <c r="L5">
        <v>2</v>
      </c>
      <c r="M5">
        <v>2</v>
      </c>
      <c r="O5">
        <f t="shared" ref="O5:O34" si="2">IF(N5&lt;0,K5,0)</f>
        <v>0</v>
      </c>
      <c r="P5">
        <f t="shared" ref="P5:P34" si="3">IF(N5&gt;0,M5,0)</f>
        <v>0</v>
      </c>
      <c r="T5">
        <v>4</v>
      </c>
      <c r="U5">
        <v>1</v>
      </c>
      <c r="V5">
        <v>1</v>
      </c>
      <c r="W5">
        <f t="shared" ref="W5:W34" si="4">IF(V5&lt;0,S5,0)</f>
        <v>0</v>
      </c>
      <c r="X5">
        <f t="shared" ref="X5:X34" si="5">IF(V5&gt;0,U5,0)</f>
        <v>1</v>
      </c>
      <c r="Y5" s="14"/>
      <c r="Z5" s="14"/>
      <c r="AA5" s="14"/>
      <c r="AB5" s="19"/>
      <c r="AC5" s="14"/>
    </row>
    <row r="6" spans="1:29" x14ac:dyDescent="0.45">
      <c r="A6" s="5">
        <v>3</v>
      </c>
      <c r="B6">
        <v>4</v>
      </c>
      <c r="C6">
        <v>1</v>
      </c>
      <c r="F6">
        <v>-1</v>
      </c>
      <c r="G6">
        <f t="shared" si="0"/>
        <v>1</v>
      </c>
      <c r="H6">
        <f t="shared" si="1"/>
        <v>0</v>
      </c>
      <c r="J6">
        <v>3</v>
      </c>
      <c r="K6">
        <v>2</v>
      </c>
      <c r="N6">
        <v>-1</v>
      </c>
      <c r="O6">
        <f t="shared" si="2"/>
        <v>2</v>
      </c>
      <c r="P6">
        <f>IF(N6&gt;0,M6,0)</f>
        <v>0</v>
      </c>
      <c r="R6">
        <v>6</v>
      </c>
      <c r="S6">
        <v>2</v>
      </c>
      <c r="T6">
        <v>6</v>
      </c>
      <c r="U6">
        <v>2</v>
      </c>
      <c r="W6">
        <f t="shared" si="4"/>
        <v>0</v>
      </c>
      <c r="X6">
        <f>IF(V6&gt;0,U6,0)</f>
        <v>0</v>
      </c>
      <c r="Y6" s="14"/>
      <c r="Z6" s="14"/>
      <c r="AA6" s="14"/>
      <c r="AB6" s="19"/>
      <c r="AC6" s="14"/>
    </row>
    <row r="7" spans="1:29" x14ac:dyDescent="0.45">
      <c r="A7" s="5">
        <v>4</v>
      </c>
      <c r="D7">
        <v>7</v>
      </c>
      <c r="E7">
        <v>1</v>
      </c>
      <c r="F7">
        <v>1</v>
      </c>
      <c r="G7">
        <f t="shared" si="0"/>
        <v>0</v>
      </c>
      <c r="H7">
        <f t="shared" si="1"/>
        <v>1</v>
      </c>
      <c r="J7">
        <v>5</v>
      </c>
      <c r="K7">
        <v>2</v>
      </c>
      <c r="L7">
        <v>5</v>
      </c>
      <c r="M7">
        <v>2</v>
      </c>
      <c r="O7">
        <f t="shared" si="2"/>
        <v>0</v>
      </c>
      <c r="P7">
        <f t="shared" si="3"/>
        <v>0</v>
      </c>
      <c r="R7">
        <v>7</v>
      </c>
      <c r="S7">
        <v>2</v>
      </c>
      <c r="T7">
        <v>7</v>
      </c>
      <c r="U7">
        <v>1</v>
      </c>
      <c r="W7">
        <f t="shared" si="4"/>
        <v>0</v>
      </c>
      <c r="X7">
        <f t="shared" ref="X7:X36" si="6">IF(V7&gt;0,U7,0)</f>
        <v>0</v>
      </c>
      <c r="Y7" s="14"/>
      <c r="Z7" s="14"/>
      <c r="AA7" s="14"/>
      <c r="AB7" s="19"/>
      <c r="AC7" s="14"/>
    </row>
    <row r="8" spans="1:29" x14ac:dyDescent="0.45">
      <c r="A8" s="5">
        <v>5</v>
      </c>
      <c r="B8">
        <v>8</v>
      </c>
      <c r="C8">
        <v>1</v>
      </c>
      <c r="D8">
        <v>8</v>
      </c>
      <c r="E8">
        <v>1</v>
      </c>
      <c r="G8">
        <f t="shared" si="0"/>
        <v>0</v>
      </c>
      <c r="H8">
        <f t="shared" si="1"/>
        <v>0</v>
      </c>
      <c r="J8">
        <v>8</v>
      </c>
      <c r="K8">
        <v>1</v>
      </c>
      <c r="L8">
        <v>8</v>
      </c>
      <c r="M8">
        <v>1</v>
      </c>
      <c r="O8">
        <f t="shared" si="2"/>
        <v>0</v>
      </c>
      <c r="P8">
        <f t="shared" si="3"/>
        <v>0</v>
      </c>
      <c r="R8">
        <v>12</v>
      </c>
      <c r="S8">
        <v>1</v>
      </c>
      <c r="T8">
        <v>12</v>
      </c>
      <c r="U8">
        <v>1</v>
      </c>
      <c r="W8">
        <f t="shared" si="4"/>
        <v>0</v>
      </c>
      <c r="X8">
        <f t="shared" si="6"/>
        <v>0</v>
      </c>
      <c r="Y8" s="14"/>
      <c r="Z8" s="14"/>
      <c r="AA8" s="14"/>
      <c r="AB8" s="14"/>
      <c r="AC8" s="14"/>
    </row>
    <row r="9" spans="1:29" x14ac:dyDescent="0.45">
      <c r="A9" s="5">
        <v>6</v>
      </c>
      <c r="B9">
        <v>9</v>
      </c>
      <c r="C9">
        <v>1</v>
      </c>
      <c r="D9">
        <v>9</v>
      </c>
      <c r="E9">
        <v>1</v>
      </c>
      <c r="G9">
        <f t="shared" si="0"/>
        <v>0</v>
      </c>
      <c r="H9">
        <f t="shared" si="1"/>
        <v>0</v>
      </c>
      <c r="J9">
        <v>9</v>
      </c>
      <c r="K9">
        <v>1</v>
      </c>
      <c r="L9">
        <v>9</v>
      </c>
      <c r="M9">
        <v>1</v>
      </c>
      <c r="O9">
        <f t="shared" si="2"/>
        <v>0</v>
      </c>
      <c r="P9">
        <f t="shared" si="3"/>
        <v>0</v>
      </c>
      <c r="R9">
        <v>13</v>
      </c>
      <c r="S9">
        <v>1</v>
      </c>
      <c r="T9">
        <v>13</v>
      </c>
      <c r="U9">
        <v>2</v>
      </c>
      <c r="W9">
        <f t="shared" si="4"/>
        <v>0</v>
      </c>
      <c r="X9">
        <f t="shared" si="6"/>
        <v>0</v>
      </c>
      <c r="Y9" s="14"/>
      <c r="Z9" s="14"/>
      <c r="AA9" s="14"/>
      <c r="AB9" s="20"/>
      <c r="AC9" s="21"/>
    </row>
    <row r="10" spans="1:29" x14ac:dyDescent="0.45">
      <c r="A10" s="5">
        <v>7</v>
      </c>
      <c r="B10">
        <v>12</v>
      </c>
      <c r="C10">
        <v>2</v>
      </c>
      <c r="F10">
        <v>-1</v>
      </c>
      <c r="G10">
        <f t="shared" si="0"/>
        <v>2</v>
      </c>
      <c r="H10">
        <f t="shared" si="1"/>
        <v>0</v>
      </c>
      <c r="J10">
        <v>10</v>
      </c>
      <c r="K10">
        <v>1</v>
      </c>
      <c r="L10">
        <v>10</v>
      </c>
      <c r="M10">
        <v>1</v>
      </c>
      <c r="O10">
        <f t="shared" si="2"/>
        <v>0</v>
      </c>
      <c r="P10">
        <f t="shared" si="3"/>
        <v>0</v>
      </c>
      <c r="R10">
        <v>14</v>
      </c>
      <c r="S10">
        <v>2</v>
      </c>
      <c r="T10">
        <v>14</v>
      </c>
      <c r="U10">
        <v>2</v>
      </c>
      <c r="W10">
        <f t="shared" si="4"/>
        <v>0</v>
      </c>
      <c r="X10">
        <f t="shared" si="6"/>
        <v>0</v>
      </c>
      <c r="Y10" s="14"/>
      <c r="Z10" s="14"/>
      <c r="AA10" s="14"/>
      <c r="AB10" s="14"/>
      <c r="AC10" s="14"/>
    </row>
    <row r="11" spans="1:29" x14ac:dyDescent="0.45">
      <c r="A11" s="5">
        <v>8</v>
      </c>
      <c r="B11">
        <v>13</v>
      </c>
      <c r="C11">
        <v>1</v>
      </c>
      <c r="F11">
        <v>-1</v>
      </c>
      <c r="G11">
        <f t="shared" si="0"/>
        <v>1</v>
      </c>
      <c r="H11">
        <f t="shared" si="1"/>
        <v>0</v>
      </c>
      <c r="J11">
        <v>11</v>
      </c>
      <c r="K11">
        <v>2</v>
      </c>
      <c r="L11">
        <v>11</v>
      </c>
      <c r="M11">
        <v>2</v>
      </c>
      <c r="O11">
        <f t="shared" si="2"/>
        <v>0</v>
      </c>
      <c r="P11">
        <f t="shared" si="3"/>
        <v>0</v>
      </c>
      <c r="R11">
        <v>17</v>
      </c>
      <c r="S11">
        <v>1</v>
      </c>
      <c r="V11">
        <v>-1</v>
      </c>
      <c r="W11">
        <f t="shared" si="4"/>
        <v>1</v>
      </c>
      <c r="X11">
        <f t="shared" si="6"/>
        <v>0</v>
      </c>
      <c r="Y11" s="14"/>
      <c r="Z11" s="14"/>
      <c r="AA11" s="14"/>
      <c r="AB11" s="14"/>
      <c r="AC11" s="14"/>
    </row>
    <row r="12" spans="1:29" x14ac:dyDescent="0.45">
      <c r="A12" s="5">
        <v>9</v>
      </c>
      <c r="B12">
        <v>18</v>
      </c>
      <c r="C12">
        <v>2</v>
      </c>
      <c r="D12">
        <v>18</v>
      </c>
      <c r="E12">
        <v>1</v>
      </c>
      <c r="G12">
        <f t="shared" si="0"/>
        <v>0</v>
      </c>
      <c r="H12">
        <f t="shared" si="1"/>
        <v>0</v>
      </c>
      <c r="J12">
        <v>12</v>
      </c>
      <c r="K12">
        <v>2</v>
      </c>
      <c r="L12">
        <v>12</v>
      </c>
      <c r="M12">
        <v>4</v>
      </c>
      <c r="O12">
        <f t="shared" si="2"/>
        <v>0</v>
      </c>
      <c r="P12">
        <f t="shared" si="3"/>
        <v>0</v>
      </c>
      <c r="R12">
        <v>18</v>
      </c>
      <c r="S12">
        <v>3</v>
      </c>
      <c r="T12">
        <v>18</v>
      </c>
      <c r="U12">
        <v>4</v>
      </c>
      <c r="W12">
        <f t="shared" si="4"/>
        <v>0</v>
      </c>
      <c r="X12">
        <f t="shared" si="6"/>
        <v>0</v>
      </c>
      <c r="Y12" s="14"/>
      <c r="Z12" s="14"/>
      <c r="AA12" s="14"/>
      <c r="AB12" s="14"/>
      <c r="AC12" s="14"/>
    </row>
    <row r="13" spans="1:29" x14ac:dyDescent="0.45">
      <c r="A13" s="5">
        <v>10</v>
      </c>
      <c r="B13">
        <v>20</v>
      </c>
      <c r="C13">
        <v>2</v>
      </c>
      <c r="D13">
        <v>20</v>
      </c>
      <c r="E13">
        <v>4</v>
      </c>
      <c r="G13">
        <f t="shared" si="0"/>
        <v>0</v>
      </c>
      <c r="H13">
        <f t="shared" si="1"/>
        <v>0</v>
      </c>
      <c r="J13">
        <v>15</v>
      </c>
      <c r="K13">
        <v>1</v>
      </c>
      <c r="L13">
        <v>15</v>
      </c>
      <c r="M13">
        <v>1</v>
      </c>
      <c r="O13">
        <f t="shared" si="2"/>
        <v>0</v>
      </c>
      <c r="P13">
        <f t="shared" si="3"/>
        <v>0</v>
      </c>
      <c r="R13">
        <v>19</v>
      </c>
      <c r="S13">
        <v>1</v>
      </c>
      <c r="T13">
        <v>19</v>
      </c>
      <c r="U13">
        <v>1</v>
      </c>
      <c r="W13">
        <f t="shared" si="4"/>
        <v>0</v>
      </c>
      <c r="X13">
        <f t="shared" si="6"/>
        <v>0</v>
      </c>
    </row>
    <row r="14" spans="1:29" x14ac:dyDescent="0.45">
      <c r="A14" s="5">
        <v>11</v>
      </c>
      <c r="D14">
        <v>21</v>
      </c>
      <c r="E14">
        <v>1</v>
      </c>
      <c r="F14">
        <v>1</v>
      </c>
      <c r="G14">
        <f t="shared" si="0"/>
        <v>0</v>
      </c>
      <c r="H14">
        <f t="shared" si="1"/>
        <v>1</v>
      </c>
      <c r="J14">
        <v>16</v>
      </c>
      <c r="K14">
        <v>2</v>
      </c>
      <c r="N14">
        <v>-1</v>
      </c>
      <c r="O14">
        <f t="shared" si="2"/>
        <v>2</v>
      </c>
      <c r="P14">
        <f t="shared" si="3"/>
        <v>0</v>
      </c>
      <c r="R14">
        <v>20</v>
      </c>
      <c r="S14">
        <v>1</v>
      </c>
      <c r="V14">
        <v>-1</v>
      </c>
      <c r="W14">
        <f t="shared" si="4"/>
        <v>1</v>
      </c>
      <c r="X14">
        <f t="shared" si="6"/>
        <v>0</v>
      </c>
    </row>
    <row r="15" spans="1:29" x14ac:dyDescent="0.45">
      <c r="A15" s="5">
        <v>12</v>
      </c>
      <c r="D15">
        <v>22</v>
      </c>
      <c r="E15">
        <v>1</v>
      </c>
      <c r="F15">
        <v>1</v>
      </c>
      <c r="G15">
        <f t="shared" si="0"/>
        <v>0</v>
      </c>
      <c r="H15">
        <f t="shared" si="1"/>
        <v>1</v>
      </c>
      <c r="L15">
        <v>17</v>
      </c>
      <c r="M15">
        <v>1</v>
      </c>
      <c r="N15">
        <v>1</v>
      </c>
      <c r="O15">
        <f t="shared" si="2"/>
        <v>0</v>
      </c>
      <c r="P15">
        <f t="shared" si="3"/>
        <v>1</v>
      </c>
      <c r="R15">
        <v>23</v>
      </c>
      <c r="S15">
        <v>1</v>
      </c>
      <c r="T15">
        <v>23</v>
      </c>
      <c r="U15">
        <v>1</v>
      </c>
      <c r="W15">
        <f t="shared" si="4"/>
        <v>0</v>
      </c>
      <c r="X15">
        <f t="shared" si="6"/>
        <v>0</v>
      </c>
    </row>
    <row r="16" spans="1:29" x14ac:dyDescent="0.45">
      <c r="A16" s="5">
        <v>13</v>
      </c>
      <c r="B16">
        <v>23</v>
      </c>
      <c r="C16">
        <v>1</v>
      </c>
      <c r="D16">
        <v>23</v>
      </c>
      <c r="E16">
        <v>1</v>
      </c>
      <c r="G16">
        <f t="shared" si="0"/>
        <v>0</v>
      </c>
      <c r="H16">
        <f t="shared" si="1"/>
        <v>0</v>
      </c>
      <c r="J16">
        <v>20</v>
      </c>
      <c r="K16">
        <v>2</v>
      </c>
      <c r="L16">
        <v>20</v>
      </c>
      <c r="M16">
        <v>1</v>
      </c>
      <c r="O16">
        <f t="shared" si="2"/>
        <v>0</v>
      </c>
      <c r="P16">
        <f t="shared" si="3"/>
        <v>0</v>
      </c>
      <c r="R16">
        <v>24</v>
      </c>
      <c r="S16">
        <v>1</v>
      </c>
      <c r="T16">
        <v>24</v>
      </c>
      <c r="U16">
        <v>1</v>
      </c>
      <c r="W16">
        <f t="shared" si="4"/>
        <v>0</v>
      </c>
      <c r="X16">
        <f t="shared" si="6"/>
        <v>0</v>
      </c>
    </row>
    <row r="17" spans="1:24" x14ac:dyDescent="0.45">
      <c r="A17" s="5">
        <v>14</v>
      </c>
      <c r="B17">
        <v>25</v>
      </c>
      <c r="C17">
        <v>1</v>
      </c>
      <c r="F17">
        <v>-1</v>
      </c>
      <c r="G17">
        <f t="shared" si="0"/>
        <v>1</v>
      </c>
      <c r="H17">
        <f t="shared" si="1"/>
        <v>0</v>
      </c>
      <c r="J17">
        <v>21</v>
      </c>
      <c r="K17">
        <v>1</v>
      </c>
      <c r="N17">
        <v>-1</v>
      </c>
      <c r="O17">
        <f t="shared" si="2"/>
        <v>1</v>
      </c>
      <c r="P17">
        <f t="shared" si="3"/>
        <v>0</v>
      </c>
      <c r="R17">
        <v>25</v>
      </c>
      <c r="S17">
        <v>4</v>
      </c>
      <c r="T17">
        <v>25</v>
      </c>
      <c r="U17">
        <v>5</v>
      </c>
      <c r="W17">
        <f t="shared" si="4"/>
        <v>0</v>
      </c>
      <c r="X17">
        <f t="shared" si="6"/>
        <v>0</v>
      </c>
    </row>
    <row r="18" spans="1:24" x14ac:dyDescent="0.45">
      <c r="A18" s="5">
        <v>15</v>
      </c>
      <c r="D18">
        <v>26</v>
      </c>
      <c r="E18">
        <v>1</v>
      </c>
      <c r="F18">
        <v>1</v>
      </c>
      <c r="G18">
        <f t="shared" si="0"/>
        <v>0</v>
      </c>
      <c r="H18">
        <f t="shared" si="1"/>
        <v>1</v>
      </c>
      <c r="J18">
        <v>22</v>
      </c>
      <c r="K18">
        <v>1</v>
      </c>
      <c r="N18">
        <v>-1</v>
      </c>
      <c r="O18">
        <f t="shared" si="2"/>
        <v>1</v>
      </c>
      <c r="P18">
        <f t="shared" si="3"/>
        <v>0</v>
      </c>
      <c r="R18">
        <v>26</v>
      </c>
      <c r="S18">
        <v>1</v>
      </c>
      <c r="V18">
        <v>-1</v>
      </c>
      <c r="W18">
        <f t="shared" si="4"/>
        <v>1</v>
      </c>
      <c r="X18">
        <f t="shared" si="6"/>
        <v>0</v>
      </c>
    </row>
    <row r="19" spans="1:24" x14ac:dyDescent="0.45">
      <c r="A19" s="5">
        <v>16</v>
      </c>
      <c r="B19">
        <v>27</v>
      </c>
      <c r="C19">
        <v>1</v>
      </c>
      <c r="D19">
        <v>27</v>
      </c>
      <c r="E19">
        <v>2</v>
      </c>
      <c r="G19">
        <f t="shared" si="0"/>
        <v>0</v>
      </c>
      <c r="H19">
        <f t="shared" si="1"/>
        <v>0</v>
      </c>
      <c r="J19">
        <v>28</v>
      </c>
      <c r="K19">
        <v>2</v>
      </c>
      <c r="L19">
        <v>28</v>
      </c>
      <c r="M19">
        <v>1</v>
      </c>
      <c r="O19">
        <f t="shared" si="2"/>
        <v>0</v>
      </c>
      <c r="P19">
        <f t="shared" si="3"/>
        <v>0</v>
      </c>
      <c r="R19">
        <v>27</v>
      </c>
      <c r="S19">
        <v>1</v>
      </c>
      <c r="V19">
        <v>-1</v>
      </c>
      <c r="W19">
        <f t="shared" si="4"/>
        <v>1</v>
      </c>
      <c r="X19">
        <f t="shared" si="6"/>
        <v>0</v>
      </c>
    </row>
    <row r="20" spans="1:24" x14ac:dyDescent="0.45">
      <c r="A20" s="5">
        <v>17</v>
      </c>
      <c r="D20">
        <v>28</v>
      </c>
      <c r="E20">
        <v>1</v>
      </c>
      <c r="F20">
        <v>1</v>
      </c>
      <c r="G20">
        <f t="shared" si="0"/>
        <v>0</v>
      </c>
      <c r="H20">
        <f t="shared" si="1"/>
        <v>1</v>
      </c>
      <c r="J20">
        <v>30</v>
      </c>
      <c r="K20">
        <v>1</v>
      </c>
      <c r="L20">
        <v>30</v>
      </c>
      <c r="M20">
        <v>1</v>
      </c>
      <c r="O20">
        <f t="shared" si="2"/>
        <v>0</v>
      </c>
      <c r="P20">
        <f t="shared" si="3"/>
        <v>0</v>
      </c>
      <c r="R20">
        <v>29</v>
      </c>
      <c r="S20">
        <v>1</v>
      </c>
      <c r="V20">
        <v>-1</v>
      </c>
      <c r="W20">
        <f t="shared" si="4"/>
        <v>1</v>
      </c>
      <c r="X20">
        <f t="shared" si="6"/>
        <v>0</v>
      </c>
    </row>
    <row r="21" spans="1:24" x14ac:dyDescent="0.45">
      <c r="A21" s="5">
        <v>18</v>
      </c>
      <c r="D21">
        <v>29</v>
      </c>
      <c r="E21">
        <v>1</v>
      </c>
      <c r="F21">
        <v>1</v>
      </c>
      <c r="G21">
        <f t="shared" si="0"/>
        <v>0</v>
      </c>
      <c r="H21">
        <f t="shared" si="1"/>
        <v>1</v>
      </c>
      <c r="L21">
        <v>31</v>
      </c>
      <c r="M21">
        <v>1</v>
      </c>
      <c r="N21">
        <v>1</v>
      </c>
      <c r="O21">
        <f t="shared" si="2"/>
        <v>0</v>
      </c>
      <c r="P21">
        <f t="shared" si="3"/>
        <v>1</v>
      </c>
      <c r="R21">
        <v>31</v>
      </c>
      <c r="S21">
        <v>1</v>
      </c>
      <c r="V21">
        <v>-1</v>
      </c>
      <c r="W21">
        <f t="shared" si="4"/>
        <v>1</v>
      </c>
      <c r="X21">
        <f t="shared" si="6"/>
        <v>0</v>
      </c>
    </row>
    <row r="22" spans="1:24" x14ac:dyDescent="0.45">
      <c r="A22" s="5">
        <v>19</v>
      </c>
      <c r="B22">
        <v>30</v>
      </c>
      <c r="C22">
        <v>1</v>
      </c>
      <c r="D22">
        <v>30</v>
      </c>
      <c r="E22">
        <v>1</v>
      </c>
      <c r="G22">
        <f t="shared" si="0"/>
        <v>0</v>
      </c>
      <c r="H22">
        <f t="shared" si="1"/>
        <v>0</v>
      </c>
      <c r="J22">
        <v>32</v>
      </c>
      <c r="K22">
        <v>1</v>
      </c>
      <c r="N22">
        <v>-1</v>
      </c>
      <c r="O22">
        <f t="shared" si="2"/>
        <v>1</v>
      </c>
      <c r="P22">
        <f t="shared" si="3"/>
        <v>0</v>
      </c>
      <c r="R22">
        <v>35</v>
      </c>
      <c r="S22">
        <v>1</v>
      </c>
      <c r="V22">
        <v>-1</v>
      </c>
      <c r="W22">
        <f t="shared" si="4"/>
        <v>1</v>
      </c>
      <c r="X22">
        <f t="shared" si="6"/>
        <v>0</v>
      </c>
    </row>
    <row r="23" spans="1:24" x14ac:dyDescent="0.45">
      <c r="A23" s="5">
        <v>20</v>
      </c>
      <c r="B23">
        <v>31</v>
      </c>
      <c r="C23">
        <v>1</v>
      </c>
      <c r="D23">
        <v>31</v>
      </c>
      <c r="E23">
        <v>1</v>
      </c>
      <c r="G23">
        <f t="shared" si="0"/>
        <v>0</v>
      </c>
      <c r="H23">
        <f t="shared" si="1"/>
        <v>0</v>
      </c>
      <c r="J23">
        <v>33</v>
      </c>
      <c r="K23">
        <v>2</v>
      </c>
      <c r="L23">
        <v>33</v>
      </c>
      <c r="M23">
        <v>2</v>
      </c>
      <c r="O23">
        <f t="shared" si="2"/>
        <v>0</v>
      </c>
      <c r="P23">
        <f t="shared" si="3"/>
        <v>0</v>
      </c>
      <c r="R23">
        <v>40</v>
      </c>
      <c r="S23">
        <v>1</v>
      </c>
      <c r="T23">
        <v>40</v>
      </c>
      <c r="U23">
        <v>1</v>
      </c>
      <c r="W23">
        <f t="shared" si="4"/>
        <v>0</v>
      </c>
      <c r="X23">
        <f t="shared" si="6"/>
        <v>0</v>
      </c>
    </row>
    <row r="24" spans="1:24" x14ac:dyDescent="0.45">
      <c r="A24" s="5">
        <v>21</v>
      </c>
      <c r="B24">
        <v>32</v>
      </c>
      <c r="C24">
        <v>1</v>
      </c>
      <c r="D24">
        <v>32</v>
      </c>
      <c r="E24">
        <v>2</v>
      </c>
      <c r="G24">
        <f t="shared" si="0"/>
        <v>0</v>
      </c>
      <c r="H24">
        <f t="shared" si="1"/>
        <v>0</v>
      </c>
      <c r="J24">
        <v>34</v>
      </c>
      <c r="K24">
        <v>4</v>
      </c>
      <c r="L24">
        <v>34</v>
      </c>
      <c r="M24">
        <v>3</v>
      </c>
      <c r="O24">
        <f t="shared" si="2"/>
        <v>0</v>
      </c>
      <c r="P24">
        <f t="shared" si="3"/>
        <v>0</v>
      </c>
      <c r="R24">
        <v>41</v>
      </c>
      <c r="S24">
        <v>2</v>
      </c>
      <c r="T24">
        <v>41</v>
      </c>
      <c r="U24">
        <v>5</v>
      </c>
      <c r="W24">
        <f t="shared" si="4"/>
        <v>0</v>
      </c>
      <c r="X24">
        <f t="shared" si="6"/>
        <v>0</v>
      </c>
    </row>
    <row r="25" spans="1:24" x14ac:dyDescent="0.45">
      <c r="A25" s="5">
        <v>22</v>
      </c>
      <c r="B25">
        <v>34</v>
      </c>
      <c r="C25">
        <v>1</v>
      </c>
      <c r="D25">
        <v>34</v>
      </c>
      <c r="E25">
        <v>2</v>
      </c>
      <c r="G25">
        <f t="shared" si="0"/>
        <v>0</v>
      </c>
      <c r="H25">
        <f t="shared" si="1"/>
        <v>0</v>
      </c>
      <c r="J25">
        <v>37</v>
      </c>
      <c r="K25">
        <v>1</v>
      </c>
      <c r="L25">
        <v>37</v>
      </c>
      <c r="M25">
        <v>1</v>
      </c>
      <c r="O25">
        <f t="shared" si="2"/>
        <v>0</v>
      </c>
      <c r="P25">
        <f t="shared" si="3"/>
        <v>0</v>
      </c>
      <c r="R25">
        <v>43</v>
      </c>
      <c r="S25">
        <v>2</v>
      </c>
      <c r="V25">
        <v>-1</v>
      </c>
      <c r="W25">
        <f t="shared" si="4"/>
        <v>2</v>
      </c>
      <c r="X25">
        <f t="shared" si="6"/>
        <v>0</v>
      </c>
    </row>
    <row r="26" spans="1:24" x14ac:dyDescent="0.45">
      <c r="A26" s="5">
        <v>23</v>
      </c>
      <c r="B26">
        <v>35</v>
      </c>
      <c r="C26">
        <v>1</v>
      </c>
      <c r="D26">
        <v>35</v>
      </c>
      <c r="E26">
        <v>2</v>
      </c>
      <c r="G26">
        <f t="shared" si="0"/>
        <v>0</v>
      </c>
      <c r="H26">
        <f t="shared" si="1"/>
        <v>0</v>
      </c>
      <c r="J26">
        <v>38</v>
      </c>
      <c r="K26">
        <v>2</v>
      </c>
      <c r="L26">
        <v>38</v>
      </c>
      <c r="M26">
        <v>1</v>
      </c>
      <c r="O26">
        <f t="shared" si="2"/>
        <v>0</v>
      </c>
      <c r="P26">
        <f t="shared" si="3"/>
        <v>0</v>
      </c>
      <c r="T26">
        <v>45</v>
      </c>
      <c r="U26">
        <v>1</v>
      </c>
      <c r="V26">
        <v>1</v>
      </c>
      <c r="W26">
        <f t="shared" si="4"/>
        <v>0</v>
      </c>
      <c r="X26">
        <f t="shared" si="6"/>
        <v>1</v>
      </c>
    </row>
    <row r="27" spans="1:24" x14ac:dyDescent="0.45">
      <c r="A27" s="5">
        <v>24</v>
      </c>
      <c r="B27">
        <v>36</v>
      </c>
      <c r="C27">
        <v>1</v>
      </c>
      <c r="D27">
        <v>36</v>
      </c>
      <c r="E27">
        <v>1</v>
      </c>
      <c r="G27">
        <f t="shared" si="0"/>
        <v>0</v>
      </c>
      <c r="H27">
        <f t="shared" si="1"/>
        <v>0</v>
      </c>
      <c r="J27">
        <v>39</v>
      </c>
      <c r="K27">
        <v>2</v>
      </c>
      <c r="N27">
        <v>-1</v>
      </c>
      <c r="O27">
        <f t="shared" si="2"/>
        <v>2</v>
      </c>
      <c r="P27">
        <f t="shared" si="3"/>
        <v>0</v>
      </c>
      <c r="R27">
        <v>47</v>
      </c>
      <c r="S27">
        <v>1</v>
      </c>
      <c r="T27">
        <v>47</v>
      </c>
      <c r="U27">
        <v>2</v>
      </c>
      <c r="W27">
        <f t="shared" si="4"/>
        <v>0</v>
      </c>
      <c r="X27">
        <f t="shared" si="6"/>
        <v>0</v>
      </c>
    </row>
    <row r="28" spans="1:24" x14ac:dyDescent="0.45">
      <c r="A28" s="5">
        <v>25</v>
      </c>
      <c r="D28">
        <v>38</v>
      </c>
      <c r="E28">
        <v>1</v>
      </c>
      <c r="F28">
        <v>1</v>
      </c>
      <c r="G28">
        <f t="shared" si="0"/>
        <v>0</v>
      </c>
      <c r="H28">
        <f t="shared" si="1"/>
        <v>1</v>
      </c>
      <c r="L28">
        <v>44</v>
      </c>
      <c r="M28">
        <v>2</v>
      </c>
      <c r="N28">
        <v>1</v>
      </c>
      <c r="O28">
        <f t="shared" si="2"/>
        <v>0</v>
      </c>
      <c r="P28">
        <f t="shared" si="3"/>
        <v>2</v>
      </c>
      <c r="R28">
        <v>48</v>
      </c>
      <c r="S28">
        <v>1</v>
      </c>
      <c r="V28">
        <v>-1</v>
      </c>
      <c r="W28">
        <f t="shared" si="4"/>
        <v>1</v>
      </c>
      <c r="X28">
        <f t="shared" si="6"/>
        <v>0</v>
      </c>
    </row>
    <row r="29" spans="1:24" x14ac:dyDescent="0.45">
      <c r="A29" s="5">
        <v>26</v>
      </c>
      <c r="B29">
        <v>41</v>
      </c>
      <c r="C29">
        <v>3</v>
      </c>
      <c r="F29">
        <v>-1</v>
      </c>
      <c r="G29">
        <f t="shared" si="0"/>
        <v>3</v>
      </c>
      <c r="H29">
        <f t="shared" si="1"/>
        <v>0</v>
      </c>
      <c r="J29">
        <v>45</v>
      </c>
      <c r="K29">
        <v>1</v>
      </c>
      <c r="N29">
        <v>-1</v>
      </c>
      <c r="O29">
        <f t="shared" si="2"/>
        <v>1</v>
      </c>
      <c r="P29">
        <f t="shared" si="3"/>
        <v>0</v>
      </c>
    </row>
    <row r="30" spans="1:24" x14ac:dyDescent="0.45">
      <c r="A30" s="5">
        <v>27</v>
      </c>
      <c r="B30">
        <v>42</v>
      </c>
      <c r="C30">
        <v>2</v>
      </c>
      <c r="F30">
        <v>-1</v>
      </c>
      <c r="G30">
        <f t="shared" si="0"/>
        <v>2</v>
      </c>
      <c r="H30">
        <f t="shared" si="1"/>
        <v>0</v>
      </c>
      <c r="J30">
        <v>46</v>
      </c>
      <c r="K30">
        <v>1</v>
      </c>
      <c r="L30">
        <v>46</v>
      </c>
      <c r="M30">
        <v>1</v>
      </c>
      <c r="O30">
        <f t="shared" si="2"/>
        <v>0</v>
      </c>
      <c r="P30">
        <f t="shared" si="3"/>
        <v>0</v>
      </c>
    </row>
    <row r="31" spans="1:24" x14ac:dyDescent="0.45">
      <c r="A31" s="5">
        <v>28</v>
      </c>
      <c r="B31">
        <v>44</v>
      </c>
      <c r="C31">
        <v>2</v>
      </c>
      <c r="F31">
        <v>-1</v>
      </c>
      <c r="G31">
        <f t="shared" si="0"/>
        <v>2</v>
      </c>
      <c r="H31">
        <f t="shared" si="1"/>
        <v>0</v>
      </c>
      <c r="J31">
        <v>49</v>
      </c>
      <c r="K31">
        <v>1</v>
      </c>
      <c r="N31">
        <v>-1</v>
      </c>
      <c r="O31">
        <f t="shared" si="2"/>
        <v>1</v>
      </c>
      <c r="P31">
        <f t="shared" si="3"/>
        <v>0</v>
      </c>
    </row>
    <row r="32" spans="1:24" x14ac:dyDescent="0.45">
      <c r="A32" s="5">
        <v>29</v>
      </c>
      <c r="B32">
        <v>47</v>
      </c>
      <c r="C32">
        <v>1</v>
      </c>
      <c r="F32">
        <v>-1</v>
      </c>
      <c r="G32">
        <f t="shared" si="0"/>
        <v>1</v>
      </c>
      <c r="H32">
        <f t="shared" si="1"/>
        <v>0</v>
      </c>
      <c r="J32">
        <v>50</v>
      </c>
      <c r="K32">
        <v>1</v>
      </c>
      <c r="L32">
        <v>50</v>
      </c>
      <c r="M32">
        <v>1</v>
      </c>
      <c r="O32">
        <f t="shared" si="2"/>
        <v>0</v>
      </c>
      <c r="P32">
        <f t="shared" si="3"/>
        <v>0</v>
      </c>
    </row>
    <row r="33" spans="1:24" x14ac:dyDescent="0.45">
      <c r="A33" s="5">
        <v>30</v>
      </c>
      <c r="B33">
        <v>48</v>
      </c>
      <c r="C33">
        <v>1</v>
      </c>
      <c r="F33">
        <v>-1</v>
      </c>
      <c r="G33">
        <f t="shared" si="0"/>
        <v>1</v>
      </c>
      <c r="H33">
        <f t="shared" si="1"/>
        <v>0</v>
      </c>
    </row>
    <row r="34" spans="1:24" x14ac:dyDescent="0.45">
      <c r="A34" s="5">
        <v>31</v>
      </c>
      <c r="B34">
        <v>49</v>
      </c>
      <c r="C34">
        <v>1</v>
      </c>
      <c r="F34">
        <v>-1</v>
      </c>
      <c r="G34">
        <f t="shared" si="0"/>
        <v>1</v>
      </c>
      <c r="H34">
        <f t="shared" si="1"/>
        <v>0</v>
      </c>
    </row>
    <row r="35" spans="1:24" x14ac:dyDescent="0.45">
      <c r="A35" s="5"/>
      <c r="B35" s="6">
        <f>COUNT(B4:B34)</f>
        <v>23</v>
      </c>
      <c r="C35" s="6">
        <f>SUM(C4:C34)/B35</f>
        <v>1.3478260869565217</v>
      </c>
      <c r="D35" s="6">
        <f>COUNT(D4:D34)</f>
        <v>21</v>
      </c>
      <c r="E35" s="6">
        <f>SUM(E4:E34)/D35</f>
        <v>1.4761904761904763</v>
      </c>
      <c r="F35" s="6">
        <f>COUNT(F4:F34)</f>
        <v>18</v>
      </c>
      <c r="G35" s="6">
        <f>SUM(G4:G34)</f>
        <v>15</v>
      </c>
      <c r="H35" s="6">
        <f>SUM(H4:H34)</f>
        <v>9</v>
      </c>
      <c r="J35" s="6">
        <f>COUNT(J4:J34)</f>
        <v>26</v>
      </c>
      <c r="K35" s="6">
        <f>SUM(K4:K34)/J35</f>
        <v>1.5384615384615385</v>
      </c>
      <c r="L35" s="6">
        <f>COUNT(L4:L34)</f>
        <v>21</v>
      </c>
      <c r="M35" s="6">
        <f>SUM(M4:M34)/L35</f>
        <v>1.4761904761904763</v>
      </c>
      <c r="N35" s="6">
        <f>COUNT(N4:N34)</f>
        <v>11</v>
      </c>
      <c r="O35" s="6">
        <f>SUM(O4:O34)</f>
        <v>11</v>
      </c>
      <c r="P35" s="6">
        <f>SUM(P4:P34)</f>
        <v>4</v>
      </c>
      <c r="R35" s="6">
        <f>COUNT(R4:R34)</f>
        <v>23</v>
      </c>
      <c r="S35" s="6">
        <f>SUM(S4:S34)/R35</f>
        <v>1.4347826086956521</v>
      </c>
      <c r="T35" s="6">
        <f>COUNT(T4:T34)</f>
        <v>15</v>
      </c>
      <c r="U35" s="6">
        <f>SUM(U4:U34)/T35</f>
        <v>2</v>
      </c>
      <c r="V35" s="6">
        <f>COUNT(V4:V34)</f>
        <v>12</v>
      </c>
      <c r="W35" s="6">
        <f>SUM(W4:W34)</f>
        <v>11</v>
      </c>
      <c r="X35" s="6">
        <f>SUM(X4:X34)</f>
        <v>2</v>
      </c>
    </row>
    <row r="36" spans="1:24" x14ac:dyDescent="0.45">
      <c r="E36" s="7" t="s">
        <v>8</v>
      </c>
      <c r="F36">
        <f>COUNTIF(F4:F34,"&lt;0")</f>
        <v>10</v>
      </c>
      <c r="G36" s="17">
        <f>G35/F36</f>
        <v>1.5</v>
      </c>
      <c r="M36" s="7" t="s">
        <v>8</v>
      </c>
      <c r="N36">
        <f>COUNTIF(N4:N34,"&lt;0")</f>
        <v>8</v>
      </c>
      <c r="O36" s="17">
        <f>O35/N36</f>
        <v>1.375</v>
      </c>
      <c r="U36" s="7" t="s">
        <v>8</v>
      </c>
      <c r="V36">
        <f>COUNTIF(V4:V34,"&lt;0")</f>
        <v>10</v>
      </c>
      <c r="W36" s="17">
        <f>W35/V36</f>
        <v>1.1000000000000001</v>
      </c>
    </row>
    <row r="37" spans="1:24" x14ac:dyDescent="0.45">
      <c r="E37" s="7" t="s">
        <v>9</v>
      </c>
      <c r="F37">
        <f>COUNTIF(F4:F34,"&gt;0")</f>
        <v>8</v>
      </c>
      <c r="H37" s="16">
        <f>H35/F37</f>
        <v>1.125</v>
      </c>
      <c r="M37" s="7" t="s">
        <v>9</v>
      </c>
      <c r="N37">
        <f>COUNTIF(N4:N34,"&gt;0")</f>
        <v>3</v>
      </c>
      <c r="P37" s="16">
        <f>P35/N37</f>
        <v>1.3333333333333333</v>
      </c>
      <c r="U37" s="7" t="s">
        <v>9</v>
      </c>
      <c r="V37">
        <f>COUNTIF(V4:V34,"&gt;0")</f>
        <v>2</v>
      </c>
      <c r="X37" s="16">
        <f>X35/V37</f>
        <v>1</v>
      </c>
    </row>
    <row r="39" spans="1:24" x14ac:dyDescent="0.45">
      <c r="B39" s="8"/>
      <c r="C39" s="8"/>
      <c r="D39" s="8"/>
      <c r="E39" s="9" t="s">
        <v>10</v>
      </c>
      <c r="F39" s="12">
        <f>(A34-F35)/B35</f>
        <v>0.56521739130434778</v>
      </c>
      <c r="J39" s="8"/>
      <c r="K39" s="8"/>
      <c r="L39" s="8"/>
      <c r="M39" s="9" t="s">
        <v>10</v>
      </c>
      <c r="N39" s="10">
        <f>(A32-N35)/J35</f>
        <v>0.69230769230769229</v>
      </c>
      <c r="O39" s="21"/>
      <c r="P39" s="21"/>
      <c r="R39" s="8"/>
      <c r="S39" s="8"/>
      <c r="T39" s="8"/>
      <c r="U39" s="9" t="s">
        <v>10</v>
      </c>
      <c r="V39" s="12">
        <f>(A28-V35)/R35</f>
        <v>0.56521739130434778</v>
      </c>
    </row>
  </sheetData>
  <mergeCells count="12">
    <mergeCell ref="B2:C2"/>
    <mergeCell ref="D2:E2"/>
    <mergeCell ref="J2:K2"/>
    <mergeCell ref="L2:M2"/>
    <mergeCell ref="R2:S2"/>
    <mergeCell ref="T2:U2"/>
    <mergeCell ref="B1:C1"/>
    <mergeCell ref="D1:E1"/>
    <mergeCell ref="J1:K1"/>
    <mergeCell ref="L1:M1"/>
    <mergeCell ref="R1:S1"/>
    <mergeCell ref="T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72F86-1006-4707-A1F2-45170BC063DB}">
  <dimension ref="A1:X44"/>
  <sheetViews>
    <sheetView topLeftCell="E26" zoomScaleNormal="100" workbookViewId="0">
      <selection activeCell="F52" sqref="F52"/>
    </sheetView>
  </sheetViews>
  <sheetFormatPr defaultRowHeight="14.25" x14ac:dyDescent="0.45"/>
  <sheetData>
    <row r="1" spans="1:24" x14ac:dyDescent="0.45">
      <c r="B1" s="1" t="s">
        <v>11</v>
      </c>
      <c r="C1" s="1"/>
      <c r="D1" s="1" t="s">
        <v>12</v>
      </c>
      <c r="E1" s="1"/>
      <c r="F1" s="2"/>
      <c r="G1" s="2"/>
      <c r="J1" s="1" t="s">
        <v>11</v>
      </c>
      <c r="K1" s="1"/>
      <c r="L1" s="1" t="s">
        <v>12</v>
      </c>
      <c r="M1" s="1"/>
      <c r="N1" s="2"/>
      <c r="O1" s="2"/>
      <c r="P1" s="2"/>
      <c r="R1" s="1" t="s">
        <v>11</v>
      </c>
      <c r="S1" s="1"/>
      <c r="T1" s="1" t="s">
        <v>12</v>
      </c>
      <c r="U1" s="1"/>
    </row>
    <row r="2" spans="1:24" x14ac:dyDescent="0.45">
      <c r="B2" s="3" t="s">
        <v>2</v>
      </c>
      <c r="C2" s="3"/>
      <c r="D2" s="3" t="s">
        <v>2</v>
      </c>
      <c r="E2" s="3"/>
      <c r="F2" s="2"/>
      <c r="G2" s="2"/>
      <c r="J2" s="3" t="s">
        <v>4</v>
      </c>
      <c r="K2" s="3"/>
      <c r="L2" s="3" t="s">
        <v>4</v>
      </c>
      <c r="M2" s="3"/>
      <c r="N2" s="2"/>
      <c r="O2" s="2"/>
      <c r="P2" s="2"/>
      <c r="R2" s="3" t="s">
        <v>3</v>
      </c>
      <c r="S2" s="3"/>
      <c r="T2" s="3" t="s">
        <v>3</v>
      </c>
      <c r="U2" s="3"/>
    </row>
    <row r="3" spans="1:24" x14ac:dyDescent="0.45">
      <c r="B3" s="4" t="s">
        <v>5</v>
      </c>
      <c r="C3" s="4" t="s">
        <v>6</v>
      </c>
      <c r="D3" s="4" t="s">
        <v>5</v>
      </c>
      <c r="E3" s="4" t="s">
        <v>6</v>
      </c>
      <c r="F3" s="4" t="s">
        <v>7</v>
      </c>
      <c r="G3" s="4" t="s">
        <v>13</v>
      </c>
      <c r="H3" s="4" t="s">
        <v>14</v>
      </c>
      <c r="J3" s="4" t="s">
        <v>5</v>
      </c>
      <c r="K3" s="4" t="s">
        <v>6</v>
      </c>
      <c r="L3" s="4" t="s">
        <v>5</v>
      </c>
      <c r="M3" s="4" t="s">
        <v>6</v>
      </c>
      <c r="N3" s="4" t="s">
        <v>7</v>
      </c>
      <c r="O3" s="4" t="s">
        <v>13</v>
      </c>
      <c r="P3" s="4" t="s">
        <v>14</v>
      </c>
      <c r="R3" s="4" t="s">
        <v>5</v>
      </c>
      <c r="S3" s="4" t="s">
        <v>6</v>
      </c>
      <c r="T3" s="4" t="s">
        <v>5</v>
      </c>
      <c r="U3" s="4" t="s">
        <v>6</v>
      </c>
      <c r="V3" s="4" t="s">
        <v>7</v>
      </c>
      <c r="W3" s="4" t="s">
        <v>13</v>
      </c>
      <c r="X3" s="4" t="s">
        <v>14</v>
      </c>
    </row>
    <row r="4" spans="1:24" x14ac:dyDescent="0.45">
      <c r="A4" s="5">
        <v>1</v>
      </c>
      <c r="B4">
        <v>1</v>
      </c>
      <c r="C4">
        <v>1</v>
      </c>
      <c r="D4" s="11"/>
      <c r="E4" s="11"/>
      <c r="F4">
        <v>-1</v>
      </c>
      <c r="G4">
        <f>IF(F4&lt;0,C4,0)</f>
        <v>1</v>
      </c>
      <c r="H4">
        <f>IF(F4&gt;0,E4,0)</f>
        <v>0</v>
      </c>
      <c r="J4" s="11"/>
      <c r="K4" s="11"/>
      <c r="L4">
        <v>1</v>
      </c>
      <c r="M4">
        <v>1</v>
      </c>
      <c r="N4">
        <v>1</v>
      </c>
      <c r="O4">
        <f>IF(N4&lt;0,K4,0)</f>
        <v>0</v>
      </c>
      <c r="P4">
        <f>IF(N4&gt;0,M4,0)</f>
        <v>1</v>
      </c>
      <c r="R4">
        <v>2</v>
      </c>
      <c r="S4">
        <v>2</v>
      </c>
      <c r="T4" s="11"/>
      <c r="U4" s="11"/>
      <c r="V4">
        <v>-1</v>
      </c>
      <c r="W4">
        <f>IF(V4&lt;0,S4,0)</f>
        <v>2</v>
      </c>
      <c r="X4">
        <f>IF(V4&gt;0,U4,0)</f>
        <v>0</v>
      </c>
    </row>
    <row r="5" spans="1:24" x14ac:dyDescent="0.45">
      <c r="A5" s="5">
        <v>2</v>
      </c>
      <c r="B5">
        <v>2</v>
      </c>
      <c r="C5">
        <v>3</v>
      </c>
      <c r="D5">
        <v>2</v>
      </c>
      <c r="E5">
        <v>2</v>
      </c>
      <c r="G5">
        <f t="shared" ref="G5:G37" si="0">IF(F5&lt;0,C5,0)</f>
        <v>0</v>
      </c>
      <c r="H5">
        <f t="shared" ref="H5:H37" si="1">IF(F5&gt;0,E5,0)</f>
        <v>0</v>
      </c>
      <c r="J5" s="11"/>
      <c r="K5" s="11"/>
      <c r="L5">
        <v>2</v>
      </c>
      <c r="M5">
        <v>3</v>
      </c>
      <c r="N5">
        <v>1</v>
      </c>
      <c r="O5">
        <f t="shared" ref="O5:O37" si="2">IF(N5&lt;0,K5,0)</f>
        <v>0</v>
      </c>
      <c r="P5">
        <f t="shared" ref="P5:P37" si="3">IF(N5&gt;0,M5,0)</f>
        <v>3</v>
      </c>
      <c r="R5">
        <v>3</v>
      </c>
      <c r="S5">
        <v>1</v>
      </c>
      <c r="T5">
        <v>3</v>
      </c>
      <c r="U5">
        <v>1</v>
      </c>
      <c r="W5">
        <f t="shared" ref="W5:W37" si="4">IF(V5&lt;0,S5,0)</f>
        <v>0</v>
      </c>
      <c r="X5">
        <f t="shared" ref="X5:X37" si="5">IF(V5&gt;0,U5,0)</f>
        <v>0</v>
      </c>
    </row>
    <row r="6" spans="1:24" x14ac:dyDescent="0.45">
      <c r="A6" s="5">
        <v>3</v>
      </c>
      <c r="B6">
        <v>3</v>
      </c>
      <c r="C6">
        <v>1</v>
      </c>
      <c r="D6">
        <v>3</v>
      </c>
      <c r="E6">
        <v>1</v>
      </c>
      <c r="G6">
        <f t="shared" si="0"/>
        <v>0</v>
      </c>
      <c r="H6">
        <f t="shared" si="1"/>
        <v>0</v>
      </c>
      <c r="J6">
        <v>4</v>
      </c>
      <c r="K6">
        <v>1</v>
      </c>
      <c r="N6">
        <v>-1</v>
      </c>
      <c r="O6">
        <f t="shared" si="2"/>
        <v>1</v>
      </c>
      <c r="P6">
        <f t="shared" si="3"/>
        <v>0</v>
      </c>
      <c r="T6">
        <v>4</v>
      </c>
      <c r="U6">
        <v>1</v>
      </c>
      <c r="V6">
        <v>1</v>
      </c>
      <c r="W6">
        <f t="shared" si="4"/>
        <v>0</v>
      </c>
      <c r="X6">
        <f t="shared" si="5"/>
        <v>1</v>
      </c>
    </row>
    <row r="7" spans="1:24" x14ac:dyDescent="0.45">
      <c r="A7" s="5">
        <v>4</v>
      </c>
      <c r="D7">
        <v>5</v>
      </c>
      <c r="E7">
        <v>1</v>
      </c>
      <c r="F7">
        <v>1</v>
      </c>
      <c r="G7">
        <f t="shared" si="0"/>
        <v>0</v>
      </c>
      <c r="H7">
        <f t="shared" si="1"/>
        <v>1</v>
      </c>
      <c r="J7">
        <v>5</v>
      </c>
      <c r="K7">
        <v>1</v>
      </c>
      <c r="L7">
        <v>5</v>
      </c>
      <c r="M7">
        <v>1</v>
      </c>
      <c r="O7">
        <f t="shared" si="2"/>
        <v>0</v>
      </c>
      <c r="P7">
        <f t="shared" si="3"/>
        <v>0</v>
      </c>
      <c r="R7">
        <v>5</v>
      </c>
      <c r="S7">
        <v>1</v>
      </c>
      <c r="V7">
        <v>-1</v>
      </c>
      <c r="W7">
        <f t="shared" si="4"/>
        <v>1</v>
      </c>
      <c r="X7">
        <f t="shared" si="5"/>
        <v>0</v>
      </c>
    </row>
    <row r="8" spans="1:24" x14ac:dyDescent="0.45">
      <c r="A8" s="5">
        <v>5</v>
      </c>
      <c r="B8">
        <v>8</v>
      </c>
      <c r="C8">
        <v>1</v>
      </c>
      <c r="F8">
        <v>-1</v>
      </c>
      <c r="G8">
        <f t="shared" si="0"/>
        <v>1</v>
      </c>
      <c r="H8">
        <f t="shared" si="1"/>
        <v>0</v>
      </c>
      <c r="J8">
        <v>6</v>
      </c>
      <c r="K8">
        <v>1</v>
      </c>
      <c r="N8">
        <v>-1</v>
      </c>
      <c r="O8">
        <f t="shared" si="2"/>
        <v>1</v>
      </c>
      <c r="P8">
        <f t="shared" si="3"/>
        <v>0</v>
      </c>
      <c r="R8">
        <v>6</v>
      </c>
      <c r="S8">
        <v>1</v>
      </c>
      <c r="T8">
        <v>6</v>
      </c>
      <c r="U8">
        <v>2</v>
      </c>
      <c r="W8">
        <f t="shared" si="4"/>
        <v>0</v>
      </c>
      <c r="X8">
        <f t="shared" si="5"/>
        <v>0</v>
      </c>
    </row>
    <row r="9" spans="1:24" x14ac:dyDescent="0.45">
      <c r="A9" s="5">
        <v>6</v>
      </c>
      <c r="B9">
        <v>9</v>
      </c>
      <c r="C9">
        <v>1</v>
      </c>
      <c r="F9">
        <v>-1</v>
      </c>
      <c r="G9">
        <f t="shared" si="0"/>
        <v>1</v>
      </c>
      <c r="H9">
        <f t="shared" si="1"/>
        <v>0</v>
      </c>
      <c r="J9">
        <v>7</v>
      </c>
      <c r="K9">
        <v>1</v>
      </c>
      <c r="N9">
        <v>-1</v>
      </c>
      <c r="O9">
        <f t="shared" si="2"/>
        <v>1</v>
      </c>
      <c r="P9">
        <f t="shared" si="3"/>
        <v>0</v>
      </c>
      <c r="R9">
        <v>7</v>
      </c>
      <c r="S9">
        <v>1</v>
      </c>
      <c r="T9">
        <v>7</v>
      </c>
      <c r="U9">
        <v>2</v>
      </c>
      <c r="W9">
        <f t="shared" si="4"/>
        <v>0</v>
      </c>
      <c r="X9">
        <f t="shared" si="5"/>
        <v>0</v>
      </c>
    </row>
    <row r="10" spans="1:24" x14ac:dyDescent="0.45">
      <c r="A10" s="5">
        <v>7</v>
      </c>
      <c r="B10">
        <v>12</v>
      </c>
      <c r="C10">
        <v>1</v>
      </c>
      <c r="D10">
        <v>12</v>
      </c>
      <c r="E10">
        <v>1</v>
      </c>
      <c r="G10">
        <f t="shared" si="0"/>
        <v>0</v>
      </c>
      <c r="H10">
        <f t="shared" si="1"/>
        <v>0</v>
      </c>
      <c r="L10">
        <v>8</v>
      </c>
      <c r="M10">
        <v>1</v>
      </c>
      <c r="N10">
        <v>1</v>
      </c>
      <c r="O10">
        <f t="shared" si="2"/>
        <v>0</v>
      </c>
      <c r="P10">
        <f t="shared" si="3"/>
        <v>1</v>
      </c>
      <c r="R10">
        <v>8</v>
      </c>
      <c r="S10">
        <v>1</v>
      </c>
      <c r="T10">
        <v>8</v>
      </c>
      <c r="U10">
        <v>1</v>
      </c>
      <c r="W10">
        <f t="shared" si="4"/>
        <v>0</v>
      </c>
      <c r="X10">
        <f t="shared" si="5"/>
        <v>0</v>
      </c>
    </row>
    <row r="11" spans="1:24" x14ac:dyDescent="0.45">
      <c r="A11" s="5">
        <v>8</v>
      </c>
      <c r="B11">
        <v>13</v>
      </c>
      <c r="C11">
        <v>1</v>
      </c>
      <c r="D11">
        <v>13</v>
      </c>
      <c r="E11">
        <v>1</v>
      </c>
      <c r="G11">
        <f t="shared" si="0"/>
        <v>0</v>
      </c>
      <c r="H11">
        <f t="shared" si="1"/>
        <v>0</v>
      </c>
      <c r="J11">
        <v>9</v>
      </c>
      <c r="K11">
        <v>1</v>
      </c>
      <c r="L11">
        <v>9</v>
      </c>
      <c r="M11">
        <v>2</v>
      </c>
      <c r="O11">
        <f t="shared" si="2"/>
        <v>0</v>
      </c>
      <c r="P11">
        <f t="shared" si="3"/>
        <v>0</v>
      </c>
      <c r="R11">
        <v>12</v>
      </c>
      <c r="S11">
        <v>1</v>
      </c>
      <c r="T11">
        <v>12</v>
      </c>
      <c r="U11">
        <v>1</v>
      </c>
      <c r="W11">
        <f t="shared" si="4"/>
        <v>0</v>
      </c>
      <c r="X11">
        <f t="shared" si="5"/>
        <v>0</v>
      </c>
    </row>
    <row r="12" spans="1:24" x14ac:dyDescent="0.45">
      <c r="A12" s="5">
        <v>9</v>
      </c>
      <c r="D12">
        <v>15</v>
      </c>
      <c r="E12">
        <v>1</v>
      </c>
      <c r="F12">
        <v>1</v>
      </c>
      <c r="G12">
        <f t="shared" si="0"/>
        <v>0</v>
      </c>
      <c r="H12">
        <f t="shared" si="1"/>
        <v>1</v>
      </c>
      <c r="J12">
        <v>10</v>
      </c>
      <c r="K12">
        <v>1</v>
      </c>
      <c r="L12">
        <v>10</v>
      </c>
      <c r="M12">
        <v>1</v>
      </c>
      <c r="O12">
        <f t="shared" si="2"/>
        <v>0</v>
      </c>
      <c r="P12">
        <f t="shared" si="3"/>
        <v>0</v>
      </c>
      <c r="R12">
        <v>13</v>
      </c>
      <c r="S12">
        <v>1</v>
      </c>
      <c r="T12">
        <v>13</v>
      </c>
      <c r="U12">
        <v>1</v>
      </c>
      <c r="W12">
        <f t="shared" si="4"/>
        <v>0</v>
      </c>
      <c r="X12">
        <f t="shared" si="5"/>
        <v>0</v>
      </c>
    </row>
    <row r="13" spans="1:24" x14ac:dyDescent="0.45">
      <c r="A13" s="5">
        <v>10</v>
      </c>
      <c r="D13">
        <v>17</v>
      </c>
      <c r="E13">
        <v>1</v>
      </c>
      <c r="F13">
        <v>1</v>
      </c>
      <c r="G13">
        <f t="shared" si="0"/>
        <v>0</v>
      </c>
      <c r="H13">
        <f t="shared" si="1"/>
        <v>1</v>
      </c>
      <c r="J13">
        <v>11</v>
      </c>
      <c r="K13">
        <v>2</v>
      </c>
      <c r="L13">
        <v>11</v>
      </c>
      <c r="M13">
        <v>2</v>
      </c>
      <c r="O13">
        <f t="shared" si="2"/>
        <v>0</v>
      </c>
      <c r="P13">
        <f t="shared" si="3"/>
        <v>0</v>
      </c>
      <c r="R13">
        <v>14</v>
      </c>
      <c r="S13">
        <v>1</v>
      </c>
      <c r="T13">
        <v>14</v>
      </c>
      <c r="U13">
        <v>2</v>
      </c>
      <c r="W13">
        <f t="shared" si="4"/>
        <v>0</v>
      </c>
      <c r="X13">
        <f t="shared" si="5"/>
        <v>0</v>
      </c>
    </row>
    <row r="14" spans="1:24" x14ac:dyDescent="0.45">
      <c r="A14" s="5">
        <v>11</v>
      </c>
      <c r="B14">
        <v>18</v>
      </c>
      <c r="C14">
        <v>1</v>
      </c>
      <c r="D14">
        <v>18</v>
      </c>
      <c r="E14">
        <v>2</v>
      </c>
      <c r="G14">
        <f t="shared" si="0"/>
        <v>0</v>
      </c>
      <c r="H14">
        <f t="shared" si="1"/>
        <v>0</v>
      </c>
      <c r="J14">
        <v>12</v>
      </c>
      <c r="K14">
        <v>3</v>
      </c>
      <c r="L14">
        <v>12</v>
      </c>
      <c r="M14">
        <v>3</v>
      </c>
      <c r="O14">
        <f t="shared" si="2"/>
        <v>0</v>
      </c>
      <c r="P14">
        <f t="shared" si="3"/>
        <v>0</v>
      </c>
      <c r="R14">
        <v>17</v>
      </c>
      <c r="S14">
        <v>1</v>
      </c>
      <c r="V14">
        <v>-1</v>
      </c>
      <c r="W14">
        <f t="shared" si="4"/>
        <v>1</v>
      </c>
      <c r="X14">
        <f t="shared" si="5"/>
        <v>0</v>
      </c>
    </row>
    <row r="15" spans="1:24" x14ac:dyDescent="0.45">
      <c r="A15" s="5">
        <v>12</v>
      </c>
      <c r="B15">
        <v>20</v>
      </c>
      <c r="C15">
        <v>3</v>
      </c>
      <c r="D15">
        <v>20</v>
      </c>
      <c r="E15">
        <v>2</v>
      </c>
      <c r="G15">
        <f t="shared" si="0"/>
        <v>0</v>
      </c>
      <c r="H15">
        <f t="shared" si="1"/>
        <v>0</v>
      </c>
      <c r="J15">
        <v>14</v>
      </c>
      <c r="K15">
        <v>1</v>
      </c>
      <c r="N15">
        <v>-1</v>
      </c>
      <c r="O15">
        <f t="shared" si="2"/>
        <v>1</v>
      </c>
      <c r="P15">
        <f t="shared" si="3"/>
        <v>0</v>
      </c>
      <c r="R15">
        <v>18</v>
      </c>
      <c r="S15">
        <v>2</v>
      </c>
      <c r="T15">
        <v>18</v>
      </c>
      <c r="U15">
        <v>3</v>
      </c>
      <c r="W15">
        <f t="shared" si="4"/>
        <v>0</v>
      </c>
      <c r="X15">
        <f t="shared" si="5"/>
        <v>0</v>
      </c>
    </row>
    <row r="16" spans="1:24" x14ac:dyDescent="0.45">
      <c r="A16" s="5">
        <v>13</v>
      </c>
      <c r="B16">
        <v>22</v>
      </c>
      <c r="C16">
        <v>1</v>
      </c>
      <c r="F16">
        <v>-1</v>
      </c>
      <c r="G16">
        <f t="shared" si="0"/>
        <v>1</v>
      </c>
      <c r="H16">
        <f t="shared" si="1"/>
        <v>0</v>
      </c>
      <c r="J16">
        <v>15</v>
      </c>
      <c r="K16">
        <v>1</v>
      </c>
      <c r="N16">
        <v>-1</v>
      </c>
      <c r="O16">
        <f t="shared" si="2"/>
        <v>1</v>
      </c>
      <c r="P16">
        <f t="shared" si="3"/>
        <v>0</v>
      </c>
      <c r="R16">
        <v>19</v>
      </c>
      <c r="S16">
        <v>1</v>
      </c>
      <c r="T16">
        <v>19</v>
      </c>
      <c r="U16">
        <v>1</v>
      </c>
      <c r="W16">
        <f t="shared" si="4"/>
        <v>0</v>
      </c>
      <c r="X16">
        <f t="shared" si="5"/>
        <v>0</v>
      </c>
    </row>
    <row r="17" spans="1:24" x14ac:dyDescent="0.45">
      <c r="A17" s="5">
        <v>14</v>
      </c>
      <c r="B17">
        <v>23</v>
      </c>
      <c r="C17">
        <v>1</v>
      </c>
      <c r="F17">
        <v>-1</v>
      </c>
      <c r="G17">
        <f t="shared" si="0"/>
        <v>1</v>
      </c>
      <c r="H17">
        <f t="shared" si="1"/>
        <v>0</v>
      </c>
      <c r="J17">
        <v>16</v>
      </c>
      <c r="K17">
        <v>2</v>
      </c>
      <c r="N17">
        <v>-1</v>
      </c>
      <c r="O17">
        <f t="shared" si="2"/>
        <v>2</v>
      </c>
      <c r="P17">
        <f t="shared" si="3"/>
        <v>0</v>
      </c>
      <c r="R17">
        <v>20</v>
      </c>
      <c r="S17">
        <v>2</v>
      </c>
      <c r="T17">
        <v>20</v>
      </c>
      <c r="U17">
        <v>1</v>
      </c>
      <c r="W17">
        <f t="shared" si="4"/>
        <v>0</v>
      </c>
      <c r="X17">
        <f t="shared" si="5"/>
        <v>0</v>
      </c>
    </row>
    <row r="18" spans="1:24" x14ac:dyDescent="0.45">
      <c r="A18" s="5">
        <v>15</v>
      </c>
      <c r="B18">
        <v>25</v>
      </c>
      <c r="C18">
        <v>1</v>
      </c>
      <c r="D18">
        <v>25</v>
      </c>
      <c r="E18">
        <v>1</v>
      </c>
      <c r="G18">
        <f t="shared" si="0"/>
        <v>0</v>
      </c>
      <c r="H18">
        <f t="shared" si="1"/>
        <v>0</v>
      </c>
      <c r="J18">
        <v>18</v>
      </c>
      <c r="K18">
        <v>2</v>
      </c>
      <c r="N18">
        <v>-1</v>
      </c>
      <c r="O18">
        <f t="shared" si="2"/>
        <v>2</v>
      </c>
      <c r="P18">
        <f t="shared" si="3"/>
        <v>0</v>
      </c>
      <c r="T18">
        <v>22</v>
      </c>
      <c r="U18">
        <v>1</v>
      </c>
      <c r="V18">
        <v>1</v>
      </c>
      <c r="W18">
        <f t="shared" si="4"/>
        <v>0</v>
      </c>
      <c r="X18">
        <f t="shared" si="5"/>
        <v>1</v>
      </c>
    </row>
    <row r="19" spans="1:24" x14ac:dyDescent="0.45">
      <c r="A19" s="5">
        <v>16</v>
      </c>
      <c r="D19">
        <v>26</v>
      </c>
      <c r="E19">
        <v>1</v>
      </c>
      <c r="F19">
        <v>1</v>
      </c>
      <c r="G19">
        <f t="shared" si="0"/>
        <v>0</v>
      </c>
      <c r="H19">
        <f t="shared" si="1"/>
        <v>1</v>
      </c>
      <c r="L19">
        <v>20</v>
      </c>
      <c r="M19">
        <v>2</v>
      </c>
      <c r="N19">
        <v>1</v>
      </c>
      <c r="O19">
        <f t="shared" si="2"/>
        <v>0</v>
      </c>
      <c r="P19">
        <f t="shared" si="3"/>
        <v>2</v>
      </c>
      <c r="T19">
        <v>23</v>
      </c>
      <c r="U19">
        <v>2</v>
      </c>
      <c r="V19">
        <v>1</v>
      </c>
      <c r="W19">
        <f t="shared" si="4"/>
        <v>0</v>
      </c>
      <c r="X19">
        <f t="shared" si="5"/>
        <v>2</v>
      </c>
    </row>
    <row r="20" spans="1:24" x14ac:dyDescent="0.45">
      <c r="A20" s="5">
        <v>17</v>
      </c>
      <c r="B20">
        <v>27</v>
      </c>
      <c r="C20">
        <v>1</v>
      </c>
      <c r="D20">
        <v>27</v>
      </c>
      <c r="E20">
        <v>1</v>
      </c>
      <c r="G20">
        <f t="shared" si="0"/>
        <v>0</v>
      </c>
      <c r="H20">
        <f t="shared" si="1"/>
        <v>0</v>
      </c>
      <c r="J20">
        <v>21</v>
      </c>
      <c r="K20">
        <v>1</v>
      </c>
      <c r="L20">
        <v>21</v>
      </c>
      <c r="M20">
        <v>1</v>
      </c>
      <c r="O20">
        <f t="shared" si="2"/>
        <v>0</v>
      </c>
      <c r="P20">
        <f t="shared" si="3"/>
        <v>0</v>
      </c>
      <c r="R20">
        <v>24</v>
      </c>
      <c r="S20">
        <v>1</v>
      </c>
      <c r="T20">
        <v>24</v>
      </c>
      <c r="U20">
        <v>1</v>
      </c>
      <c r="W20">
        <f t="shared" si="4"/>
        <v>0</v>
      </c>
      <c r="X20">
        <f t="shared" si="5"/>
        <v>0</v>
      </c>
    </row>
    <row r="21" spans="1:24" x14ac:dyDescent="0.45">
      <c r="A21" s="5">
        <v>18</v>
      </c>
      <c r="B21">
        <v>28</v>
      </c>
      <c r="C21">
        <v>1</v>
      </c>
      <c r="F21">
        <v>-1</v>
      </c>
      <c r="G21">
        <f t="shared" si="0"/>
        <v>1</v>
      </c>
      <c r="H21">
        <f t="shared" si="1"/>
        <v>0</v>
      </c>
      <c r="J21">
        <v>23</v>
      </c>
      <c r="K21">
        <v>1</v>
      </c>
      <c r="N21">
        <v>-1</v>
      </c>
      <c r="O21">
        <f t="shared" si="2"/>
        <v>1</v>
      </c>
      <c r="P21">
        <f t="shared" si="3"/>
        <v>0</v>
      </c>
      <c r="R21">
        <v>25</v>
      </c>
      <c r="S21">
        <v>3</v>
      </c>
      <c r="T21">
        <v>25</v>
      </c>
      <c r="U21">
        <v>4</v>
      </c>
      <c r="W21">
        <f t="shared" si="4"/>
        <v>0</v>
      </c>
      <c r="X21">
        <f t="shared" si="5"/>
        <v>0</v>
      </c>
    </row>
    <row r="22" spans="1:24" x14ac:dyDescent="0.45">
      <c r="A22" s="5">
        <v>19</v>
      </c>
      <c r="D22">
        <v>29</v>
      </c>
      <c r="E22">
        <v>1</v>
      </c>
      <c r="F22">
        <v>1</v>
      </c>
      <c r="G22">
        <f t="shared" si="0"/>
        <v>0</v>
      </c>
      <c r="H22">
        <f t="shared" si="1"/>
        <v>1</v>
      </c>
      <c r="J22">
        <v>25</v>
      </c>
      <c r="K22">
        <v>1</v>
      </c>
      <c r="N22">
        <v>-1</v>
      </c>
      <c r="O22">
        <f t="shared" si="2"/>
        <v>1</v>
      </c>
      <c r="P22">
        <f t="shared" si="3"/>
        <v>0</v>
      </c>
      <c r="R22">
        <v>26</v>
      </c>
      <c r="S22">
        <v>1</v>
      </c>
      <c r="V22">
        <v>-1</v>
      </c>
      <c r="W22">
        <f t="shared" si="4"/>
        <v>1</v>
      </c>
      <c r="X22">
        <f t="shared" si="5"/>
        <v>0</v>
      </c>
    </row>
    <row r="23" spans="1:24" x14ac:dyDescent="0.45">
      <c r="A23" s="5">
        <v>20</v>
      </c>
      <c r="B23">
        <v>30</v>
      </c>
      <c r="C23">
        <v>1</v>
      </c>
      <c r="D23">
        <v>30</v>
      </c>
      <c r="E23">
        <v>1</v>
      </c>
      <c r="G23">
        <f t="shared" si="0"/>
        <v>0</v>
      </c>
      <c r="H23">
        <f t="shared" si="1"/>
        <v>0</v>
      </c>
      <c r="L23">
        <v>27</v>
      </c>
      <c r="M23">
        <v>1</v>
      </c>
      <c r="N23">
        <v>1</v>
      </c>
      <c r="O23">
        <f t="shared" si="2"/>
        <v>0</v>
      </c>
      <c r="P23">
        <f t="shared" si="3"/>
        <v>1</v>
      </c>
      <c r="R23">
        <v>27</v>
      </c>
      <c r="S23">
        <v>1</v>
      </c>
      <c r="V23">
        <v>-1</v>
      </c>
      <c r="W23">
        <f t="shared" si="4"/>
        <v>1</v>
      </c>
      <c r="X23">
        <f t="shared" si="5"/>
        <v>0</v>
      </c>
    </row>
    <row r="24" spans="1:24" x14ac:dyDescent="0.45">
      <c r="A24" s="5">
        <v>21</v>
      </c>
      <c r="B24">
        <v>31</v>
      </c>
      <c r="C24">
        <v>1</v>
      </c>
      <c r="F24">
        <v>-1</v>
      </c>
      <c r="G24">
        <f t="shared" si="0"/>
        <v>1</v>
      </c>
      <c r="H24">
        <f t="shared" si="1"/>
        <v>0</v>
      </c>
      <c r="L24">
        <v>28</v>
      </c>
      <c r="M24">
        <v>1</v>
      </c>
      <c r="N24">
        <v>1</v>
      </c>
      <c r="O24">
        <f t="shared" si="2"/>
        <v>0</v>
      </c>
      <c r="P24">
        <f t="shared" si="3"/>
        <v>1</v>
      </c>
      <c r="R24">
        <v>28</v>
      </c>
      <c r="S24">
        <v>1</v>
      </c>
      <c r="T24">
        <v>28</v>
      </c>
      <c r="U24">
        <v>1</v>
      </c>
      <c r="W24">
        <f t="shared" si="4"/>
        <v>0</v>
      </c>
      <c r="X24">
        <f t="shared" si="5"/>
        <v>0</v>
      </c>
    </row>
    <row r="25" spans="1:24" x14ac:dyDescent="0.45">
      <c r="A25" s="5">
        <v>22</v>
      </c>
      <c r="B25">
        <v>32</v>
      </c>
      <c r="C25">
        <v>1</v>
      </c>
      <c r="D25">
        <v>32</v>
      </c>
      <c r="E25">
        <v>1</v>
      </c>
      <c r="G25">
        <f t="shared" si="0"/>
        <v>0</v>
      </c>
      <c r="H25">
        <f t="shared" si="1"/>
        <v>0</v>
      </c>
      <c r="J25">
        <v>30</v>
      </c>
      <c r="K25">
        <v>1</v>
      </c>
      <c r="L25">
        <v>30</v>
      </c>
      <c r="M25">
        <v>1</v>
      </c>
      <c r="O25">
        <f t="shared" si="2"/>
        <v>0</v>
      </c>
      <c r="P25">
        <f t="shared" si="3"/>
        <v>0</v>
      </c>
      <c r="R25">
        <v>29</v>
      </c>
      <c r="S25">
        <v>1</v>
      </c>
      <c r="V25">
        <v>-1</v>
      </c>
      <c r="W25">
        <f t="shared" si="4"/>
        <v>1</v>
      </c>
      <c r="X25">
        <f t="shared" si="5"/>
        <v>0</v>
      </c>
    </row>
    <row r="26" spans="1:24" x14ac:dyDescent="0.45">
      <c r="A26" s="5">
        <v>23</v>
      </c>
      <c r="D26">
        <v>33</v>
      </c>
      <c r="E26">
        <v>1</v>
      </c>
      <c r="F26">
        <v>1</v>
      </c>
      <c r="G26">
        <f t="shared" si="0"/>
        <v>0</v>
      </c>
      <c r="H26">
        <f t="shared" si="1"/>
        <v>1</v>
      </c>
      <c r="L26">
        <v>31</v>
      </c>
      <c r="M26">
        <v>1</v>
      </c>
      <c r="N26">
        <v>1</v>
      </c>
      <c r="O26">
        <f t="shared" si="2"/>
        <v>0</v>
      </c>
      <c r="P26">
        <f t="shared" si="3"/>
        <v>1</v>
      </c>
      <c r="R26">
        <v>31</v>
      </c>
      <c r="S26">
        <v>1</v>
      </c>
      <c r="T26">
        <v>31</v>
      </c>
      <c r="U26">
        <v>1</v>
      </c>
      <c r="W26">
        <f t="shared" si="4"/>
        <v>0</v>
      </c>
      <c r="X26">
        <f t="shared" si="5"/>
        <v>0</v>
      </c>
    </row>
    <row r="27" spans="1:24" x14ac:dyDescent="0.45">
      <c r="A27" s="5">
        <v>24</v>
      </c>
      <c r="B27">
        <v>34</v>
      </c>
      <c r="C27">
        <v>2</v>
      </c>
      <c r="D27">
        <v>34</v>
      </c>
      <c r="E27">
        <v>1</v>
      </c>
      <c r="G27">
        <f t="shared" si="0"/>
        <v>0</v>
      </c>
      <c r="H27">
        <f t="shared" si="1"/>
        <v>0</v>
      </c>
      <c r="L27">
        <v>32</v>
      </c>
      <c r="M27">
        <v>1</v>
      </c>
      <c r="N27">
        <v>1</v>
      </c>
      <c r="O27">
        <f t="shared" si="2"/>
        <v>0</v>
      </c>
      <c r="P27">
        <f t="shared" si="3"/>
        <v>1</v>
      </c>
      <c r="R27">
        <v>32</v>
      </c>
      <c r="S27">
        <v>1</v>
      </c>
      <c r="V27">
        <v>-1</v>
      </c>
      <c r="W27">
        <f t="shared" si="4"/>
        <v>1</v>
      </c>
      <c r="X27">
        <f t="shared" si="5"/>
        <v>0</v>
      </c>
    </row>
    <row r="28" spans="1:24" x14ac:dyDescent="0.45">
      <c r="A28" s="5">
        <v>25</v>
      </c>
      <c r="B28">
        <v>35</v>
      </c>
      <c r="C28">
        <v>1</v>
      </c>
      <c r="D28">
        <v>35</v>
      </c>
      <c r="E28">
        <v>1</v>
      </c>
      <c r="G28">
        <f t="shared" si="0"/>
        <v>0</v>
      </c>
      <c r="H28">
        <f t="shared" si="1"/>
        <v>0</v>
      </c>
      <c r="J28">
        <v>33</v>
      </c>
      <c r="K28">
        <v>2</v>
      </c>
      <c r="L28">
        <v>33</v>
      </c>
      <c r="M28">
        <v>1</v>
      </c>
      <c r="O28">
        <f t="shared" si="2"/>
        <v>0</v>
      </c>
      <c r="P28">
        <f t="shared" si="3"/>
        <v>0</v>
      </c>
      <c r="R28">
        <v>35</v>
      </c>
      <c r="S28">
        <v>1</v>
      </c>
      <c r="T28">
        <v>35</v>
      </c>
      <c r="U28">
        <v>1</v>
      </c>
      <c r="W28">
        <f t="shared" si="4"/>
        <v>0</v>
      </c>
      <c r="X28">
        <f t="shared" si="5"/>
        <v>0</v>
      </c>
    </row>
    <row r="29" spans="1:24" x14ac:dyDescent="0.45">
      <c r="A29" s="5">
        <v>26</v>
      </c>
      <c r="B29">
        <v>36</v>
      </c>
      <c r="C29">
        <v>1</v>
      </c>
      <c r="D29">
        <v>36</v>
      </c>
      <c r="E29">
        <v>1</v>
      </c>
      <c r="G29">
        <f t="shared" si="0"/>
        <v>0</v>
      </c>
      <c r="H29">
        <f t="shared" si="1"/>
        <v>0</v>
      </c>
      <c r="J29">
        <v>34</v>
      </c>
      <c r="K29">
        <v>3</v>
      </c>
      <c r="L29">
        <v>34</v>
      </c>
      <c r="M29">
        <v>4</v>
      </c>
      <c r="O29">
        <f t="shared" si="2"/>
        <v>0</v>
      </c>
      <c r="P29">
        <f t="shared" si="3"/>
        <v>0</v>
      </c>
      <c r="R29">
        <v>38</v>
      </c>
      <c r="S29">
        <v>1</v>
      </c>
      <c r="V29">
        <v>-1</v>
      </c>
      <c r="W29">
        <f t="shared" si="4"/>
        <v>1</v>
      </c>
      <c r="X29">
        <f t="shared" si="5"/>
        <v>0</v>
      </c>
    </row>
    <row r="30" spans="1:24" x14ac:dyDescent="0.45">
      <c r="A30" s="5">
        <v>27</v>
      </c>
      <c r="D30">
        <v>37</v>
      </c>
      <c r="E30">
        <v>1</v>
      </c>
      <c r="F30">
        <v>1</v>
      </c>
      <c r="G30">
        <f t="shared" si="0"/>
        <v>0</v>
      </c>
      <c r="H30">
        <f t="shared" si="1"/>
        <v>1</v>
      </c>
      <c r="J30">
        <v>37</v>
      </c>
      <c r="K30">
        <v>1</v>
      </c>
      <c r="N30">
        <v>-1</v>
      </c>
      <c r="O30">
        <f t="shared" si="2"/>
        <v>1</v>
      </c>
      <c r="P30">
        <f t="shared" si="3"/>
        <v>0</v>
      </c>
      <c r="R30">
        <v>40</v>
      </c>
      <c r="S30">
        <v>1</v>
      </c>
      <c r="T30">
        <v>40</v>
      </c>
      <c r="U30">
        <v>1</v>
      </c>
      <c r="W30">
        <f t="shared" si="4"/>
        <v>0</v>
      </c>
      <c r="X30">
        <f t="shared" si="5"/>
        <v>0</v>
      </c>
    </row>
    <row r="31" spans="1:24" x14ac:dyDescent="0.45">
      <c r="A31" s="5">
        <v>28</v>
      </c>
      <c r="B31">
        <v>41</v>
      </c>
      <c r="C31">
        <v>2</v>
      </c>
      <c r="D31">
        <v>41</v>
      </c>
      <c r="E31">
        <v>1</v>
      </c>
      <c r="G31">
        <f t="shared" si="0"/>
        <v>0</v>
      </c>
      <c r="H31">
        <f t="shared" si="1"/>
        <v>0</v>
      </c>
      <c r="J31">
        <v>38</v>
      </c>
      <c r="K31">
        <v>1</v>
      </c>
      <c r="L31">
        <v>38</v>
      </c>
      <c r="M31">
        <v>2</v>
      </c>
      <c r="O31">
        <f t="shared" si="2"/>
        <v>0</v>
      </c>
      <c r="P31">
        <f t="shared" si="3"/>
        <v>0</v>
      </c>
      <c r="R31">
        <v>41</v>
      </c>
      <c r="S31">
        <v>2</v>
      </c>
      <c r="T31">
        <v>41</v>
      </c>
      <c r="U31">
        <v>4</v>
      </c>
      <c r="W31">
        <f t="shared" si="4"/>
        <v>0</v>
      </c>
      <c r="X31">
        <f t="shared" si="5"/>
        <v>0</v>
      </c>
    </row>
    <row r="32" spans="1:24" x14ac:dyDescent="0.45">
      <c r="A32" s="5">
        <v>29</v>
      </c>
      <c r="B32">
        <v>42</v>
      </c>
      <c r="C32">
        <v>1</v>
      </c>
      <c r="F32">
        <v>-1</v>
      </c>
      <c r="G32">
        <f t="shared" si="0"/>
        <v>1</v>
      </c>
      <c r="H32">
        <f t="shared" si="1"/>
        <v>0</v>
      </c>
      <c r="J32">
        <v>39</v>
      </c>
      <c r="K32">
        <v>2</v>
      </c>
      <c r="N32">
        <v>-1</v>
      </c>
      <c r="O32">
        <f t="shared" si="2"/>
        <v>2</v>
      </c>
      <c r="P32">
        <f t="shared" si="3"/>
        <v>0</v>
      </c>
      <c r="R32">
        <v>43</v>
      </c>
      <c r="S32">
        <v>1</v>
      </c>
      <c r="V32">
        <v>-1</v>
      </c>
      <c r="W32">
        <f t="shared" si="4"/>
        <v>1</v>
      </c>
      <c r="X32">
        <f t="shared" si="5"/>
        <v>0</v>
      </c>
    </row>
    <row r="33" spans="1:24" x14ac:dyDescent="0.45">
      <c r="A33" s="5">
        <v>30</v>
      </c>
      <c r="B33">
        <v>44</v>
      </c>
      <c r="C33">
        <v>1</v>
      </c>
      <c r="D33">
        <v>44</v>
      </c>
      <c r="E33">
        <v>1</v>
      </c>
      <c r="G33">
        <f t="shared" si="0"/>
        <v>0</v>
      </c>
      <c r="H33">
        <f t="shared" si="1"/>
        <v>0</v>
      </c>
      <c r="J33">
        <v>41</v>
      </c>
      <c r="K33">
        <v>1</v>
      </c>
      <c r="N33">
        <v>-1</v>
      </c>
      <c r="O33">
        <f t="shared" si="2"/>
        <v>1</v>
      </c>
      <c r="P33">
        <f t="shared" si="3"/>
        <v>0</v>
      </c>
      <c r="T33">
        <v>45</v>
      </c>
      <c r="U33">
        <v>1</v>
      </c>
      <c r="V33">
        <v>1</v>
      </c>
      <c r="W33">
        <f t="shared" si="4"/>
        <v>0</v>
      </c>
      <c r="X33">
        <f t="shared" si="5"/>
        <v>1</v>
      </c>
    </row>
    <row r="34" spans="1:24" x14ac:dyDescent="0.45">
      <c r="A34" s="5">
        <v>31</v>
      </c>
      <c r="B34">
        <v>46</v>
      </c>
      <c r="C34">
        <v>1</v>
      </c>
      <c r="F34">
        <v>-1</v>
      </c>
      <c r="G34">
        <f t="shared" si="0"/>
        <v>1</v>
      </c>
      <c r="H34">
        <f t="shared" si="1"/>
        <v>0</v>
      </c>
      <c r="J34">
        <v>42</v>
      </c>
      <c r="K34">
        <v>1</v>
      </c>
      <c r="N34">
        <v>-1</v>
      </c>
      <c r="O34">
        <f t="shared" si="2"/>
        <v>1</v>
      </c>
      <c r="P34">
        <f t="shared" si="3"/>
        <v>0</v>
      </c>
      <c r="R34">
        <v>47</v>
      </c>
      <c r="S34">
        <v>1</v>
      </c>
      <c r="T34">
        <v>47</v>
      </c>
      <c r="U34">
        <v>1</v>
      </c>
      <c r="W34">
        <f t="shared" si="4"/>
        <v>0</v>
      </c>
      <c r="X34">
        <f t="shared" si="5"/>
        <v>0</v>
      </c>
    </row>
    <row r="35" spans="1:24" x14ac:dyDescent="0.45">
      <c r="A35" s="5">
        <v>32</v>
      </c>
      <c r="B35">
        <v>47</v>
      </c>
      <c r="C35">
        <v>1</v>
      </c>
      <c r="D35">
        <v>47</v>
      </c>
      <c r="E35">
        <v>1</v>
      </c>
      <c r="G35">
        <f t="shared" si="0"/>
        <v>0</v>
      </c>
      <c r="H35">
        <f t="shared" si="1"/>
        <v>0</v>
      </c>
      <c r="J35">
        <v>43</v>
      </c>
      <c r="K35">
        <v>1</v>
      </c>
      <c r="N35">
        <v>-1</v>
      </c>
      <c r="O35">
        <f t="shared" si="2"/>
        <v>1</v>
      </c>
      <c r="P35">
        <f t="shared" si="3"/>
        <v>0</v>
      </c>
      <c r="R35">
        <v>48</v>
      </c>
      <c r="S35">
        <v>1</v>
      </c>
      <c r="V35">
        <v>-1</v>
      </c>
      <c r="W35">
        <f t="shared" si="4"/>
        <v>1</v>
      </c>
      <c r="X35">
        <f t="shared" si="5"/>
        <v>0</v>
      </c>
    </row>
    <row r="36" spans="1:24" x14ac:dyDescent="0.45">
      <c r="A36" s="5">
        <v>33</v>
      </c>
      <c r="B36">
        <v>48</v>
      </c>
      <c r="C36">
        <v>1</v>
      </c>
      <c r="F36">
        <v>-1</v>
      </c>
      <c r="G36">
        <f t="shared" si="0"/>
        <v>1</v>
      </c>
      <c r="H36">
        <f t="shared" si="1"/>
        <v>0</v>
      </c>
      <c r="J36">
        <v>44</v>
      </c>
      <c r="K36">
        <v>1</v>
      </c>
      <c r="L36">
        <v>44</v>
      </c>
      <c r="M36">
        <v>1</v>
      </c>
      <c r="O36">
        <f t="shared" si="2"/>
        <v>0</v>
      </c>
      <c r="P36">
        <f t="shared" si="3"/>
        <v>0</v>
      </c>
    </row>
    <row r="37" spans="1:24" x14ac:dyDescent="0.45">
      <c r="A37" s="5">
        <v>34</v>
      </c>
      <c r="B37">
        <v>49</v>
      </c>
      <c r="C37">
        <v>2</v>
      </c>
      <c r="F37">
        <v>-1</v>
      </c>
      <c r="G37">
        <f t="shared" si="0"/>
        <v>2</v>
      </c>
      <c r="H37">
        <f t="shared" si="1"/>
        <v>0</v>
      </c>
      <c r="J37">
        <v>45</v>
      </c>
      <c r="K37">
        <v>1</v>
      </c>
      <c r="N37">
        <v>-1</v>
      </c>
      <c r="O37">
        <f t="shared" si="2"/>
        <v>1</v>
      </c>
      <c r="P37">
        <f t="shared" si="3"/>
        <v>0</v>
      </c>
    </row>
    <row r="38" spans="1:24" x14ac:dyDescent="0.45">
      <c r="A38" s="5">
        <v>35</v>
      </c>
      <c r="L38">
        <v>46</v>
      </c>
      <c r="M38">
        <v>1</v>
      </c>
      <c r="N38">
        <v>1</v>
      </c>
      <c r="O38">
        <f t="shared" ref="O38:O39" si="6">IF(N38&lt;0,K38,0)</f>
        <v>0</v>
      </c>
      <c r="P38">
        <f t="shared" ref="P38:P39" si="7">IF(N38&gt;0,M38,0)</f>
        <v>1</v>
      </c>
    </row>
    <row r="39" spans="1:24" x14ac:dyDescent="0.45">
      <c r="A39" s="5">
        <v>36</v>
      </c>
      <c r="J39">
        <v>50</v>
      </c>
      <c r="K39">
        <v>1</v>
      </c>
      <c r="L39">
        <v>50</v>
      </c>
      <c r="M39">
        <v>1</v>
      </c>
      <c r="O39">
        <f t="shared" si="6"/>
        <v>0</v>
      </c>
      <c r="P39">
        <f t="shared" si="7"/>
        <v>0</v>
      </c>
    </row>
    <row r="40" spans="1:24" x14ac:dyDescent="0.45">
      <c r="A40" s="5"/>
      <c r="B40" s="6">
        <f>COUNT(B4:B39)</f>
        <v>27</v>
      </c>
      <c r="C40" s="6">
        <f>SUM(C4:C39)/B40</f>
        <v>1.2592592592592593</v>
      </c>
      <c r="D40" s="6">
        <f>COUNT(D4:D39)</f>
        <v>23</v>
      </c>
      <c r="E40" s="6">
        <f>SUM(E4:E39)/D40</f>
        <v>1.1304347826086956</v>
      </c>
      <c r="F40" s="6">
        <f>COUNT(F4:F39)</f>
        <v>18</v>
      </c>
      <c r="G40" s="6">
        <f>SUM(G4:G39)</f>
        <v>12</v>
      </c>
      <c r="H40" s="6">
        <f>SUM(H4:H39)</f>
        <v>7</v>
      </c>
      <c r="J40" s="6">
        <f>COUNT(J4:J39)</f>
        <v>27</v>
      </c>
      <c r="K40" s="6">
        <f>SUM(K4:K39)/J40</f>
        <v>1.3333333333333333</v>
      </c>
      <c r="L40" s="6">
        <f>COUNT(L4:L39)</f>
        <v>21</v>
      </c>
      <c r="M40" s="6">
        <f>SUM(M4:M39)/L40</f>
        <v>1.5238095238095237</v>
      </c>
      <c r="N40" s="6">
        <f>COUNT(N4:N39)</f>
        <v>24</v>
      </c>
      <c r="O40" s="6">
        <f>SUM(O4:O39)</f>
        <v>18</v>
      </c>
      <c r="P40" s="6">
        <f>SUM(P4:P39)</f>
        <v>12</v>
      </c>
      <c r="R40" s="6">
        <f>COUNT(R4:R39)</f>
        <v>28</v>
      </c>
      <c r="S40" s="6">
        <f>SUM(S4:S39)/R40</f>
        <v>1.2142857142857142</v>
      </c>
      <c r="T40" s="6">
        <f>COUNT(T4:T39)</f>
        <v>22</v>
      </c>
      <c r="U40" s="6">
        <f>SUM(U4:U39)/T40</f>
        <v>1.5454545454545454</v>
      </c>
      <c r="V40" s="6">
        <f>COUNT(V4:V39)</f>
        <v>14</v>
      </c>
      <c r="W40" s="6">
        <f>SUM(W4:W39)</f>
        <v>11</v>
      </c>
      <c r="X40" s="6">
        <f>SUM(X4:X39)</f>
        <v>5</v>
      </c>
    </row>
    <row r="41" spans="1:24" x14ac:dyDescent="0.45">
      <c r="A41" s="5"/>
      <c r="E41" s="7" t="s">
        <v>8</v>
      </c>
      <c r="F41">
        <f>COUNTIF(F4:F39,"&lt;0")</f>
        <v>11</v>
      </c>
      <c r="G41" s="17">
        <f>G40/F41</f>
        <v>1.0909090909090908</v>
      </c>
      <c r="M41" s="7" t="s">
        <v>8</v>
      </c>
      <c r="N41">
        <f>COUNTIF(N4:N39,"&lt;0")</f>
        <v>15</v>
      </c>
      <c r="O41" s="17">
        <f>O40/N41</f>
        <v>1.2</v>
      </c>
      <c r="U41" s="7" t="s">
        <v>8</v>
      </c>
      <c r="V41">
        <f>COUNTIF(V4:V39,"&lt;0")</f>
        <v>10</v>
      </c>
      <c r="W41" s="17">
        <f>W40/V41</f>
        <v>1.1000000000000001</v>
      </c>
    </row>
    <row r="42" spans="1:24" x14ac:dyDescent="0.45">
      <c r="A42" s="5"/>
      <c r="E42" s="7" t="s">
        <v>9</v>
      </c>
      <c r="F42">
        <f>COUNTIF(F4:F39,"&gt;0")</f>
        <v>7</v>
      </c>
      <c r="H42" s="16">
        <f>H40/F42</f>
        <v>1</v>
      </c>
      <c r="M42" s="7" t="s">
        <v>9</v>
      </c>
      <c r="N42">
        <f>COUNTIF(N4:N39,"&gt;0")</f>
        <v>9</v>
      </c>
      <c r="P42" s="16">
        <f>P40/N42</f>
        <v>1.3333333333333333</v>
      </c>
      <c r="U42" s="7" t="s">
        <v>9</v>
      </c>
      <c r="V42">
        <f>COUNTIF(V4:V39,"&gt;0")</f>
        <v>4</v>
      </c>
      <c r="X42" s="16">
        <f>X40/V42</f>
        <v>1.25</v>
      </c>
    </row>
    <row r="43" spans="1:24" x14ac:dyDescent="0.45">
      <c r="A43" s="5"/>
    </row>
    <row r="44" spans="1:24" x14ac:dyDescent="0.45">
      <c r="B44" s="8"/>
      <c r="C44" s="8"/>
      <c r="D44" s="8"/>
      <c r="E44" s="9" t="s">
        <v>10</v>
      </c>
      <c r="F44" s="13">
        <f>(A37-F40)/B40</f>
        <v>0.59259259259259256</v>
      </c>
      <c r="G44" s="15"/>
      <c r="J44" s="8"/>
      <c r="K44" s="8"/>
      <c r="L44" s="8"/>
      <c r="M44" s="9" t="s">
        <v>10</v>
      </c>
      <c r="N44" s="12">
        <f>(A39-N40)/J40</f>
        <v>0.44444444444444442</v>
      </c>
      <c r="O44" s="15"/>
      <c r="P44" s="15"/>
      <c r="R44" s="8"/>
      <c r="S44" s="8"/>
      <c r="T44" s="8"/>
      <c r="U44" s="9" t="s">
        <v>10</v>
      </c>
      <c r="V44" s="13">
        <f>(A35-V40)/R40</f>
        <v>0.6428571428571429</v>
      </c>
      <c r="W44" s="15"/>
      <c r="X44" s="15"/>
    </row>
  </sheetData>
  <mergeCells count="12">
    <mergeCell ref="B2:C2"/>
    <mergeCell ref="D2:E2"/>
    <mergeCell ref="J2:K2"/>
    <mergeCell ref="L2:M2"/>
    <mergeCell ref="R2:S2"/>
    <mergeCell ref="T2:U2"/>
    <mergeCell ref="B1:C1"/>
    <mergeCell ref="D1:E1"/>
    <mergeCell ref="J1:K1"/>
    <mergeCell ref="L1:M1"/>
    <mergeCell ref="R1:S1"/>
    <mergeCell ref="T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1052-78EB-43F6-AD81-A44C022D5DBD}">
  <dimension ref="A1:U13"/>
  <sheetViews>
    <sheetView tabSelected="1" topLeftCell="I1" workbookViewId="0">
      <selection activeCell="T14" sqref="T14"/>
    </sheetView>
  </sheetViews>
  <sheetFormatPr defaultRowHeight="14.25" x14ac:dyDescent="0.45"/>
  <sheetData>
    <row r="1" spans="1:21" x14ac:dyDescent="0.45">
      <c r="A1" s="26" t="s">
        <v>20</v>
      </c>
      <c r="B1" s="26"/>
      <c r="C1" s="26"/>
      <c r="D1" s="26"/>
      <c r="E1" s="26"/>
      <c r="F1" s="26"/>
      <c r="G1" s="26"/>
      <c r="H1" s="26"/>
      <c r="J1" s="28" t="s">
        <v>25</v>
      </c>
      <c r="K1" s="28"/>
      <c r="L1" s="28"/>
      <c r="M1" s="28"/>
      <c r="N1" s="28"/>
      <c r="O1" s="28"/>
      <c r="P1" s="28"/>
      <c r="Q1" s="28"/>
      <c r="R1" s="31" t="s">
        <v>32</v>
      </c>
      <c r="S1" s="32"/>
      <c r="T1" s="32"/>
      <c r="U1" s="32"/>
    </row>
    <row r="2" spans="1:21" x14ac:dyDescent="0.45">
      <c r="B2" t="s">
        <v>2</v>
      </c>
      <c r="C2" t="s">
        <v>2</v>
      </c>
      <c r="D2" t="s">
        <v>4</v>
      </c>
      <c r="E2" t="s">
        <v>4</v>
      </c>
      <c r="F2" t="s">
        <v>3</v>
      </c>
      <c r="G2" t="s">
        <v>3</v>
      </c>
      <c r="H2" s="18"/>
      <c r="K2" t="s">
        <v>2</v>
      </c>
      <c r="L2" t="s">
        <v>2</v>
      </c>
      <c r="M2" t="s">
        <v>4</v>
      </c>
      <c r="N2" t="s">
        <v>4</v>
      </c>
      <c r="O2" t="s">
        <v>3</v>
      </c>
      <c r="P2" t="s">
        <v>3</v>
      </c>
      <c r="Q2" s="18"/>
      <c r="R2" s="18" t="s">
        <v>28</v>
      </c>
      <c r="S2" s="14" t="s">
        <v>30</v>
      </c>
      <c r="T2" s="14" t="s">
        <v>29</v>
      </c>
      <c r="U2" s="18"/>
    </row>
    <row r="3" spans="1:21" x14ac:dyDescent="0.45">
      <c r="B3" s="25" t="s">
        <v>19</v>
      </c>
      <c r="C3" s="4" t="s">
        <v>14</v>
      </c>
      <c r="D3" s="25" t="s">
        <v>19</v>
      </c>
      <c r="E3" s="4" t="s">
        <v>14</v>
      </c>
      <c r="F3" s="25" t="s">
        <v>19</v>
      </c>
      <c r="G3" s="4" t="s">
        <v>14</v>
      </c>
      <c r="H3" s="24" t="s">
        <v>17</v>
      </c>
      <c r="K3" s="25" t="s">
        <v>26</v>
      </c>
      <c r="L3" s="25" t="s">
        <v>27</v>
      </c>
      <c r="M3" s="25" t="s">
        <v>26</v>
      </c>
      <c r="N3" s="25" t="s">
        <v>27</v>
      </c>
      <c r="O3" s="25" t="s">
        <v>26</v>
      </c>
      <c r="P3" s="25" t="s">
        <v>27</v>
      </c>
      <c r="Q3" s="24" t="s">
        <v>17</v>
      </c>
      <c r="R3" s="33" t="s">
        <v>31</v>
      </c>
      <c r="S3" s="25" t="s">
        <v>31</v>
      </c>
      <c r="T3" s="25" t="s">
        <v>31</v>
      </c>
      <c r="U3" s="24" t="s">
        <v>17</v>
      </c>
    </row>
    <row r="4" spans="1:21" x14ac:dyDescent="0.45">
      <c r="A4" t="s">
        <v>15</v>
      </c>
      <c r="B4">
        <f>starting!G41</f>
        <v>1.0909090909090908</v>
      </c>
      <c r="C4">
        <f>starting!H42</f>
        <v>1</v>
      </c>
      <c r="D4">
        <f>starting!O41</f>
        <v>1.2</v>
      </c>
      <c r="E4">
        <f>starting!P42</f>
        <v>1.3333333333333333</v>
      </c>
      <c r="F4">
        <f>starting!W41</f>
        <v>1.1000000000000001</v>
      </c>
      <c r="G4">
        <f>starting!X42</f>
        <v>1.25</v>
      </c>
      <c r="H4" s="18">
        <f>SUM(B4:G4)/6</f>
        <v>1.1623737373737375</v>
      </c>
      <c r="J4" t="s">
        <v>15</v>
      </c>
      <c r="K4">
        <f>starting!F41</f>
        <v>11</v>
      </c>
      <c r="L4">
        <f>starting!F42</f>
        <v>7</v>
      </c>
      <c r="M4">
        <f>starting!N41</f>
        <v>15</v>
      </c>
      <c r="N4">
        <f>starting!N42</f>
        <v>9</v>
      </c>
      <c r="O4">
        <f>starting!V41</f>
        <v>10</v>
      </c>
      <c r="P4">
        <f>starting!V42</f>
        <v>4</v>
      </c>
      <c r="Q4" s="18">
        <f>SUM(K4:P4)/6</f>
        <v>9.3333333333333339</v>
      </c>
      <c r="R4" s="18">
        <f>starting!F40</f>
        <v>18</v>
      </c>
      <c r="S4" s="14">
        <f>starting!N40</f>
        <v>24</v>
      </c>
      <c r="T4" s="14">
        <f>starting!V40</f>
        <v>14</v>
      </c>
      <c r="U4" s="18">
        <f>SUM(R4:T4)/3</f>
        <v>18.666666666666668</v>
      </c>
    </row>
    <row r="5" spans="1:21" x14ac:dyDescent="0.45">
      <c r="A5" t="s">
        <v>16</v>
      </c>
      <c r="B5">
        <f>opt!G36</f>
        <v>1.5</v>
      </c>
      <c r="C5">
        <f>opt!H37</f>
        <v>1.125</v>
      </c>
      <c r="D5">
        <f>opt!O36</f>
        <v>1.375</v>
      </c>
      <c r="E5">
        <f>opt!P37</f>
        <v>1.3333333333333333</v>
      </c>
      <c r="F5">
        <f>opt!W36</f>
        <v>1.1000000000000001</v>
      </c>
      <c r="G5">
        <f>opt!X37</f>
        <v>1</v>
      </c>
      <c r="H5" s="18">
        <f>SUM(B5:G5)/6</f>
        <v>1.2388888888888889</v>
      </c>
      <c r="J5" t="s">
        <v>16</v>
      </c>
      <c r="K5">
        <f>opt!F36</f>
        <v>10</v>
      </c>
      <c r="L5">
        <f>opt!F37</f>
        <v>8</v>
      </c>
      <c r="M5">
        <f>opt!N36</f>
        <v>8</v>
      </c>
      <c r="N5">
        <f>opt!N37</f>
        <v>3</v>
      </c>
      <c r="O5">
        <f>opt!V36</f>
        <v>10</v>
      </c>
      <c r="P5">
        <f>opt!V37</f>
        <v>2</v>
      </c>
      <c r="Q5" s="18">
        <f>SUM(K5:P5)/6</f>
        <v>6.833333333333333</v>
      </c>
      <c r="R5" s="18">
        <f>opt!F35</f>
        <v>18</v>
      </c>
      <c r="S5" s="14">
        <f>opt!N35</f>
        <v>11</v>
      </c>
      <c r="T5" s="14">
        <f>opt!V35</f>
        <v>12</v>
      </c>
      <c r="U5" s="18">
        <f>SUM(R5:T5)/3</f>
        <v>13.666666666666666</v>
      </c>
    </row>
    <row r="6" spans="1:21" x14ac:dyDescent="0.45">
      <c r="A6" s="10" t="s">
        <v>18</v>
      </c>
      <c r="B6" s="22">
        <f>((B5/B4)-1)</f>
        <v>0.375</v>
      </c>
      <c r="C6" s="22">
        <f t="shared" ref="C6:H6" si="0">((C5/C4)-1)</f>
        <v>0.125</v>
      </c>
      <c r="D6" s="22">
        <f t="shared" si="0"/>
        <v>0.14583333333333348</v>
      </c>
      <c r="E6" s="22">
        <f t="shared" si="0"/>
        <v>0</v>
      </c>
      <c r="F6" s="22">
        <f t="shared" si="0"/>
        <v>0</v>
      </c>
      <c r="G6" s="22">
        <f t="shared" si="0"/>
        <v>-0.19999999999999996</v>
      </c>
      <c r="H6" s="27">
        <f t="shared" si="0"/>
        <v>6.5826634803388906E-2</v>
      </c>
      <c r="J6" s="10" t="s">
        <v>18</v>
      </c>
      <c r="K6" s="22">
        <f>((K5/K4)-1)</f>
        <v>-9.0909090909090939E-2</v>
      </c>
      <c r="L6" s="22">
        <f t="shared" ref="L6" si="1">((L5/L4)-1)</f>
        <v>0.14285714285714279</v>
      </c>
      <c r="M6" s="22">
        <f t="shared" ref="M6" si="2">((M5/M4)-1)</f>
        <v>-0.46666666666666667</v>
      </c>
      <c r="N6" s="22">
        <f t="shared" ref="N6" si="3">((N5/N4)-1)</f>
        <v>-0.66666666666666674</v>
      </c>
      <c r="O6" s="22">
        <f t="shared" ref="O6" si="4">((O5/O4)-1)</f>
        <v>0</v>
      </c>
      <c r="P6" s="22">
        <f t="shared" ref="P6" si="5">((P5/P4)-1)</f>
        <v>-0.5</v>
      </c>
      <c r="Q6" s="29">
        <f t="shared" ref="Q6" si="6">((Q5/Q4)-1)</f>
        <v>-0.2678571428571429</v>
      </c>
      <c r="R6" s="23">
        <f>((R5/R4)-1)</f>
        <v>0</v>
      </c>
      <c r="S6" s="22">
        <f t="shared" ref="S6:U6" si="7">((S5/S4)-1)</f>
        <v>-0.54166666666666674</v>
      </c>
      <c r="T6" s="22">
        <f t="shared" si="7"/>
        <v>-0.1428571428571429</v>
      </c>
      <c r="U6" s="29">
        <f t="shared" si="7"/>
        <v>-0.2678571428571429</v>
      </c>
    </row>
    <row r="8" spans="1:21" x14ac:dyDescent="0.45">
      <c r="A8" s="26" t="s">
        <v>23</v>
      </c>
      <c r="B8" s="26"/>
      <c r="C8" s="26"/>
      <c r="D8" s="26"/>
      <c r="E8" s="26"/>
      <c r="F8" s="26"/>
      <c r="G8" s="26"/>
      <c r="H8" s="26"/>
      <c r="J8" s="28" t="s">
        <v>24</v>
      </c>
      <c r="K8" s="28"/>
      <c r="L8" s="28"/>
      <c r="M8" s="28"/>
      <c r="N8" s="28"/>
      <c r="O8" s="28"/>
      <c r="P8" s="28"/>
      <c r="Q8" s="28"/>
    </row>
    <row r="9" spans="1:21" x14ac:dyDescent="0.45">
      <c r="B9" t="s">
        <v>2</v>
      </c>
      <c r="C9" t="s">
        <v>2</v>
      </c>
      <c r="D9" t="s">
        <v>4</v>
      </c>
      <c r="E9" t="s">
        <v>4</v>
      </c>
      <c r="F9" t="s">
        <v>3</v>
      </c>
      <c r="G9" t="s">
        <v>3</v>
      </c>
      <c r="H9" s="18"/>
      <c r="K9" t="s">
        <v>2</v>
      </c>
      <c r="L9" t="s">
        <v>2</v>
      </c>
      <c r="M9" t="s">
        <v>4</v>
      </c>
      <c r="N9" t="s">
        <v>4</v>
      </c>
      <c r="O9" t="s">
        <v>3</v>
      </c>
      <c r="P9" t="s">
        <v>3</v>
      </c>
      <c r="Q9" s="18"/>
    </row>
    <row r="10" spans="1:21" x14ac:dyDescent="0.45">
      <c r="B10" s="25" t="s">
        <v>21</v>
      </c>
      <c r="C10" s="25" t="s">
        <v>22</v>
      </c>
      <c r="D10" s="25" t="s">
        <v>21</v>
      </c>
      <c r="E10" s="25" t="s">
        <v>22</v>
      </c>
      <c r="F10" s="25" t="s">
        <v>21</v>
      </c>
      <c r="G10" s="25" t="s">
        <v>22</v>
      </c>
      <c r="H10" s="24" t="s">
        <v>17</v>
      </c>
      <c r="K10" s="25" t="s">
        <v>26</v>
      </c>
      <c r="L10" s="25" t="s">
        <v>27</v>
      </c>
      <c r="M10" s="25" t="s">
        <v>26</v>
      </c>
      <c r="N10" s="25" t="s">
        <v>27</v>
      </c>
      <c r="O10" s="25" t="s">
        <v>26</v>
      </c>
      <c r="P10" s="25" t="s">
        <v>27</v>
      </c>
      <c r="Q10" s="24" t="s">
        <v>17</v>
      </c>
    </row>
    <row r="11" spans="1:21" x14ac:dyDescent="0.45">
      <c r="A11" t="s">
        <v>15</v>
      </c>
      <c r="B11">
        <f>starting!C40</f>
        <v>1.2592592592592593</v>
      </c>
      <c r="C11">
        <f>starting!E40</f>
        <v>1.1304347826086956</v>
      </c>
      <c r="D11">
        <f>starting!K40</f>
        <v>1.3333333333333333</v>
      </c>
      <c r="E11">
        <f>starting!M40</f>
        <v>1.5238095238095237</v>
      </c>
      <c r="F11">
        <f>starting!S40</f>
        <v>1.2142857142857142</v>
      </c>
      <c r="G11">
        <f>starting!U40</f>
        <v>1.5454545454545454</v>
      </c>
      <c r="H11" s="18">
        <f>SUM(B11:G11)/6</f>
        <v>1.3344295264585118</v>
      </c>
      <c r="J11" t="s">
        <v>15</v>
      </c>
      <c r="K11">
        <f>starting!B40</f>
        <v>27</v>
      </c>
      <c r="L11">
        <f>starting!D40</f>
        <v>23</v>
      </c>
      <c r="M11">
        <f>starting!J40</f>
        <v>27</v>
      </c>
      <c r="N11" s="30">
        <f>starting!L40</f>
        <v>21</v>
      </c>
      <c r="O11">
        <f>starting!R40</f>
        <v>28</v>
      </c>
      <c r="P11">
        <f>starting!T40</f>
        <v>22</v>
      </c>
      <c r="Q11" s="18">
        <f>SUM(K11:P11)/6</f>
        <v>24.666666666666668</v>
      </c>
    </row>
    <row r="12" spans="1:21" x14ac:dyDescent="0.45">
      <c r="A12" t="s">
        <v>16</v>
      </c>
      <c r="B12">
        <f>opt!C35</f>
        <v>1.3478260869565217</v>
      </c>
      <c r="C12">
        <f>opt!E35</f>
        <v>1.4761904761904763</v>
      </c>
      <c r="D12">
        <f>opt!K35</f>
        <v>1.5384615384615385</v>
      </c>
      <c r="E12">
        <f>opt!M35</f>
        <v>1.4761904761904763</v>
      </c>
      <c r="F12">
        <f>opt!S35</f>
        <v>1.4347826086956521</v>
      </c>
      <c r="G12">
        <f>opt!U35</f>
        <v>2</v>
      </c>
      <c r="H12" s="18">
        <f>SUM(B12:G12)/6</f>
        <v>1.5455751977491108</v>
      </c>
      <c r="J12" t="s">
        <v>16</v>
      </c>
      <c r="K12">
        <f>opt!B35</f>
        <v>23</v>
      </c>
      <c r="L12">
        <f>opt!D35</f>
        <v>21</v>
      </c>
      <c r="M12">
        <f>opt!J35</f>
        <v>26</v>
      </c>
      <c r="N12">
        <f>opt!L35</f>
        <v>21</v>
      </c>
      <c r="O12">
        <f>opt!R35</f>
        <v>23</v>
      </c>
      <c r="P12">
        <f>opt!T35</f>
        <v>15</v>
      </c>
      <c r="Q12" s="18">
        <f>SUM(K12:P12)/6</f>
        <v>21.5</v>
      </c>
    </row>
    <row r="13" spans="1:21" x14ac:dyDescent="0.45">
      <c r="A13" s="10" t="s">
        <v>18</v>
      </c>
      <c r="B13" s="22">
        <f>((B12/B11)-1)</f>
        <v>7.0332480818414256E-2</v>
      </c>
      <c r="C13" s="22">
        <f t="shared" ref="C13" si="8">((C12/C11)-1)</f>
        <v>0.30586080586080611</v>
      </c>
      <c r="D13" s="22">
        <f t="shared" ref="D13" si="9">((D12/D11)-1)</f>
        <v>0.15384615384615397</v>
      </c>
      <c r="E13" s="22">
        <f t="shared" ref="E13" si="10">((E12/E11)-1)</f>
        <v>-3.1249999999999889E-2</v>
      </c>
      <c r="F13" s="22">
        <f t="shared" ref="F13" si="11">((F12/F11)-1)</f>
        <v>0.18158567774936074</v>
      </c>
      <c r="G13" s="22">
        <f t="shared" ref="G13" si="12">((G12/G11)-1)</f>
        <v>0.29411764705882359</v>
      </c>
      <c r="H13" s="27">
        <f t="shared" ref="H13" si="13">((H12/H11)-1)</f>
        <v>0.15822916617482652</v>
      </c>
      <c r="J13" s="10" t="s">
        <v>18</v>
      </c>
      <c r="K13" s="22">
        <f>((K12/K11)-1)</f>
        <v>-0.14814814814814814</v>
      </c>
      <c r="L13" s="22">
        <f t="shared" ref="L13" si="14">((L12/L11)-1)</f>
        <v>-8.6956521739130488E-2</v>
      </c>
      <c r="M13" s="22">
        <f t="shared" ref="M13" si="15">((M12/M11)-1)</f>
        <v>-3.703703703703709E-2</v>
      </c>
      <c r="N13" s="22">
        <f t="shared" ref="N13" si="16">((N12/N11)-1)</f>
        <v>0</v>
      </c>
      <c r="O13" s="22">
        <f t="shared" ref="O13" si="17">((O12/O11)-1)</f>
        <v>-0.1785714285714286</v>
      </c>
      <c r="P13" s="22">
        <f t="shared" ref="P13" si="18">((P12/P11)-1)</f>
        <v>-0.31818181818181823</v>
      </c>
      <c r="Q13" s="29">
        <f t="shared" ref="Q13" si="19">((Q12/Q11)-1)</f>
        <v>-0.1283783783783784</v>
      </c>
    </row>
  </sheetData>
  <mergeCells count="5">
    <mergeCell ref="A1:H1"/>
    <mergeCell ref="A8:H8"/>
    <mergeCell ref="J8:Q8"/>
    <mergeCell ref="J1:Q1"/>
    <mergeCell ref="R1:U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opt</vt:lpstr>
      <vt:lpstr>starting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menon</dc:creator>
  <cp:lastModifiedBy>camilla menon</cp:lastModifiedBy>
  <dcterms:created xsi:type="dcterms:W3CDTF">2015-06-05T18:17:20Z</dcterms:created>
  <dcterms:modified xsi:type="dcterms:W3CDTF">2025-11-06T10:18:03Z</dcterms:modified>
</cp:coreProperties>
</file>