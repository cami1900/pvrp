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non\Documents\pvrp\src\route_optimizer_test\"/>
    </mc:Choice>
  </mc:AlternateContent>
  <xr:revisionPtr revIDLastSave="0" documentId="13_ncr:1_{53B6C72A-8D52-4E28-9637-59C83E4B16F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3" i="1"/>
  <c r="E11" i="1"/>
  <c r="E12" i="1"/>
  <c r="L3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2" i="1"/>
  <c r="F3" i="1"/>
  <c r="F4" i="1"/>
  <c r="F5" i="1"/>
  <c r="F2" i="1"/>
</calcChain>
</file>

<file path=xl/sharedStrings.xml><?xml version="1.0" encoding="utf-8"?>
<sst xmlns="http://schemas.openxmlformats.org/spreadsheetml/2006/main" count="18" uniqueCount="17">
  <si>
    <t>pos1</t>
  </si>
  <si>
    <t>pos2</t>
  </si>
  <si>
    <t>pos3</t>
  </si>
  <si>
    <t>pos4</t>
  </si>
  <si>
    <t>dist_2opt</t>
  </si>
  <si>
    <t>dist_3opt</t>
  </si>
  <si>
    <t>dist_2_3opt</t>
  </si>
  <si>
    <t>dist_3_2opt</t>
  </si>
  <si>
    <t>****************************************</t>
  </si>
  <si>
    <t>total runs: 719 times</t>
  </si>
  <si>
    <t>better solution: 582 times</t>
  </si>
  <si>
    <t>2-3 opt is better: 75 times</t>
  </si>
  <si>
    <t>3-2 opt is better: 43 times</t>
  </si>
  <si>
    <t>solutions are equal: 464 times</t>
  </si>
  <si>
    <t>vehicles</t>
  </si>
  <si>
    <t>clients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</si>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</sst>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B10" sqref="B10"/>
    </sheetView>
  </sheetViews>
  <sheetFormatPr defaultRowHeight="14.25" x14ac:dyDescent="0.45"/>
  <sheetData>
    <row r="1" spans="1:12" x14ac:dyDescent="0.45">
      <c r="B1" s="1" t="s">
        <v>0</v>
      </c>
      <c r="C1" s="1" t="s">
        <v>1</v>
      </c>
      <c r="D1" s="1" t="s">
        <v>2</v>
      </c>
      <c r="E1" s="1" t="s">
        <v>3</v>
      </c>
      <c r="H1" s="3" t="s">
        <v>14</v>
      </c>
      <c r="I1" s="3" t="s">
        <v>15</v>
      </c>
      <c r="J1" s="3" t="s">
        <v>16</v>
      </c>
    </row>
    <row r="2" spans="1:12" x14ac:dyDescent="0.45">
      <c r="A2" s="1" t="s">
        <v>4</v>
      </c>
      <c r="B2">
        <v>350</v>
      </c>
      <c r="C2">
        <v>136</v>
      </c>
      <c r="D2">
        <v>45</v>
      </c>
      <c r="E2">
        <v>11</v>
      </c>
      <c r="F2">
        <f>SUM(B2:E2)</f>
        <v>542</v>
      </c>
      <c r="H2">
        <v>3</v>
      </c>
      <c r="I2">
        <v>51</v>
      </c>
      <c r="J2">
        <v>2</v>
      </c>
      <c r="L2">
        <f>H2*J2</f>
        <v>6</v>
      </c>
    </row>
    <row r="3" spans="1:12" x14ac:dyDescent="0.45">
      <c r="A3" s="1" t="s">
        <v>5</v>
      </c>
      <c r="B3">
        <v>57</v>
      </c>
      <c r="C3">
        <v>43</v>
      </c>
      <c r="D3">
        <v>43</v>
      </c>
      <c r="E3">
        <v>35</v>
      </c>
      <c r="F3">
        <f t="shared" ref="F3:F5" si="0">SUM(B3:E3)</f>
        <v>178</v>
      </c>
      <c r="H3">
        <v>3</v>
      </c>
      <c r="I3">
        <v>50</v>
      </c>
      <c r="J3">
        <v>5</v>
      </c>
      <c r="L3">
        <f t="shared" ref="L3:L33" si="1">H3*J3</f>
        <v>15</v>
      </c>
    </row>
    <row r="4" spans="1:12" x14ac:dyDescent="0.45">
      <c r="A4" s="2" t="s">
        <v>6</v>
      </c>
      <c r="B4">
        <v>497</v>
      </c>
      <c r="C4">
        <v>48</v>
      </c>
      <c r="D4">
        <v>3</v>
      </c>
      <c r="E4">
        <v>0</v>
      </c>
      <c r="F4">
        <f t="shared" si="0"/>
        <v>548</v>
      </c>
      <c r="H4" s="4">
        <v>1</v>
      </c>
      <c r="I4">
        <v>50</v>
      </c>
      <c r="J4">
        <v>5</v>
      </c>
      <c r="L4">
        <f t="shared" si="1"/>
        <v>5</v>
      </c>
    </row>
    <row r="5" spans="1:12" x14ac:dyDescent="0.45">
      <c r="A5" s="1" t="s">
        <v>7</v>
      </c>
      <c r="B5">
        <v>446</v>
      </c>
      <c r="C5">
        <v>91</v>
      </c>
      <c r="D5">
        <v>10</v>
      </c>
      <c r="E5">
        <v>0</v>
      </c>
      <c r="F5">
        <f t="shared" si="0"/>
        <v>547</v>
      </c>
      <c r="H5">
        <v>5</v>
      </c>
      <c r="I5">
        <v>75</v>
      </c>
      <c r="J5">
        <v>2</v>
      </c>
      <c r="L5">
        <f t="shared" si="1"/>
        <v>10</v>
      </c>
    </row>
    <row r="6" spans="1:12" x14ac:dyDescent="0.45">
      <c r="H6">
        <v>6</v>
      </c>
      <c r="I6">
        <v>75</v>
      </c>
      <c r="J6">
        <v>5</v>
      </c>
      <c r="L6">
        <f t="shared" si="1"/>
        <v>30</v>
      </c>
    </row>
    <row r="7" spans="1:12" x14ac:dyDescent="0.45">
      <c r="H7" s="4">
        <v>1</v>
      </c>
      <c r="I7">
        <v>75</v>
      </c>
      <c r="J7">
        <v>10</v>
      </c>
      <c r="L7">
        <f t="shared" si="1"/>
        <v>10</v>
      </c>
    </row>
    <row r="8" spans="1:12" x14ac:dyDescent="0.45">
      <c r="A8" t="s">
        <v>8</v>
      </c>
      <c r="H8">
        <v>4</v>
      </c>
      <c r="I8">
        <v>100</v>
      </c>
      <c r="J8">
        <v>2</v>
      </c>
      <c r="L8">
        <f t="shared" si="1"/>
        <v>8</v>
      </c>
    </row>
    <row r="9" spans="1:12" x14ac:dyDescent="0.45">
      <c r="A9" t="s">
        <v>9</v>
      </c>
      <c r="H9">
        <v>5</v>
      </c>
      <c r="I9">
        <v>100</v>
      </c>
      <c r="J9">
        <v>5</v>
      </c>
      <c r="L9">
        <f t="shared" si="1"/>
        <v>25</v>
      </c>
    </row>
    <row r="10" spans="1:12" x14ac:dyDescent="0.45">
      <c r="A10" t="s">
        <v>10</v>
      </c>
      <c r="H10" s="4">
        <v>1</v>
      </c>
      <c r="I10">
        <v>100</v>
      </c>
      <c r="J10">
        <v>8</v>
      </c>
      <c r="L10">
        <f t="shared" si="1"/>
        <v>8</v>
      </c>
    </row>
    <row r="11" spans="1:12" x14ac:dyDescent="0.45">
      <c r="A11" t="s">
        <v>11</v>
      </c>
      <c r="E11" s="4">
        <f>(75/582)*100</f>
        <v>12.886597938144329</v>
      </c>
      <c r="H11">
        <v>4</v>
      </c>
      <c r="I11">
        <v>100</v>
      </c>
      <c r="J11">
        <v>5</v>
      </c>
      <c r="L11">
        <f t="shared" si="1"/>
        <v>20</v>
      </c>
    </row>
    <row r="12" spans="1:12" x14ac:dyDescent="0.45">
      <c r="A12" t="s">
        <v>12</v>
      </c>
      <c r="E12">
        <f>(43/582)*100</f>
        <v>7.3883161512027495</v>
      </c>
      <c r="H12">
        <v>4</v>
      </c>
      <c r="I12">
        <v>138</v>
      </c>
      <c r="J12">
        <v>5</v>
      </c>
      <c r="L12">
        <f t="shared" si="1"/>
        <v>20</v>
      </c>
    </row>
    <row r="13" spans="1:12" x14ac:dyDescent="0.45">
      <c r="A13" t="s">
        <v>13</v>
      </c>
      <c r="E13" s="4">
        <f>(464/582)*100</f>
        <v>79.725085910652922</v>
      </c>
      <c r="H13">
        <v>3</v>
      </c>
      <c r="I13">
        <v>163</v>
      </c>
      <c r="J13">
        <v>5</v>
      </c>
      <c r="L13">
        <f t="shared" si="1"/>
        <v>15</v>
      </c>
    </row>
    <row r="14" spans="1:12" x14ac:dyDescent="0.45">
      <c r="A14" t="s">
        <v>8</v>
      </c>
      <c r="H14">
        <v>9</v>
      </c>
      <c r="I14">
        <v>417</v>
      </c>
      <c r="J14">
        <v>7</v>
      </c>
      <c r="L14">
        <f t="shared" si="1"/>
        <v>63</v>
      </c>
    </row>
    <row r="15" spans="1:12" x14ac:dyDescent="0.45">
      <c r="E15">
        <f>E11+E13</f>
        <v>92.611683848797256</v>
      </c>
      <c r="H15">
        <v>2</v>
      </c>
      <c r="I15">
        <v>20</v>
      </c>
      <c r="J15">
        <v>4</v>
      </c>
      <c r="L15">
        <f t="shared" si="1"/>
        <v>8</v>
      </c>
    </row>
    <row r="16" spans="1:12" x14ac:dyDescent="0.45">
      <c r="H16">
        <v>2</v>
      </c>
      <c r="I16">
        <v>38</v>
      </c>
      <c r="J16">
        <v>4</v>
      </c>
      <c r="L16">
        <f t="shared" si="1"/>
        <v>8</v>
      </c>
    </row>
    <row r="17" spans="8:12" x14ac:dyDescent="0.45">
      <c r="H17">
        <v>2</v>
      </c>
      <c r="I17">
        <v>56</v>
      </c>
      <c r="J17">
        <v>4</v>
      </c>
      <c r="L17">
        <f t="shared" si="1"/>
        <v>8</v>
      </c>
    </row>
    <row r="18" spans="8:12" x14ac:dyDescent="0.45">
      <c r="H18">
        <v>4</v>
      </c>
      <c r="I18">
        <v>40</v>
      </c>
      <c r="J18">
        <v>4</v>
      </c>
      <c r="L18">
        <f t="shared" si="1"/>
        <v>16</v>
      </c>
    </row>
    <row r="19" spans="8:12" x14ac:dyDescent="0.45">
      <c r="H19">
        <v>4</v>
      </c>
      <c r="I19">
        <v>76</v>
      </c>
      <c r="J19">
        <v>4</v>
      </c>
      <c r="L19">
        <f t="shared" si="1"/>
        <v>16</v>
      </c>
    </row>
    <row r="20" spans="8:12" x14ac:dyDescent="0.45">
      <c r="H20">
        <v>4</v>
      </c>
      <c r="I20">
        <v>112</v>
      </c>
      <c r="J20">
        <v>4</v>
      </c>
      <c r="L20">
        <f t="shared" si="1"/>
        <v>16</v>
      </c>
    </row>
    <row r="21" spans="8:12" x14ac:dyDescent="0.45">
      <c r="H21">
        <v>4</v>
      </c>
      <c r="I21">
        <v>184</v>
      </c>
      <c r="J21">
        <v>4</v>
      </c>
      <c r="L21">
        <f t="shared" si="1"/>
        <v>16</v>
      </c>
    </row>
    <row r="22" spans="8:12" x14ac:dyDescent="0.45">
      <c r="H22">
        <v>6</v>
      </c>
      <c r="I22">
        <v>60</v>
      </c>
      <c r="J22">
        <v>4</v>
      </c>
      <c r="L22">
        <f t="shared" si="1"/>
        <v>24</v>
      </c>
    </row>
    <row r="23" spans="8:12" x14ac:dyDescent="0.45">
      <c r="H23">
        <v>6</v>
      </c>
      <c r="I23">
        <v>114</v>
      </c>
      <c r="J23">
        <v>4</v>
      </c>
      <c r="L23">
        <f t="shared" si="1"/>
        <v>24</v>
      </c>
    </row>
    <row r="24" spans="8:12" x14ac:dyDescent="0.45">
      <c r="H24">
        <v>6</v>
      </c>
      <c r="I24">
        <v>168</v>
      </c>
      <c r="J24">
        <v>4</v>
      </c>
      <c r="L24">
        <f t="shared" si="1"/>
        <v>24</v>
      </c>
    </row>
    <row r="25" spans="8:12" x14ac:dyDescent="0.45">
      <c r="H25">
        <v>3</v>
      </c>
      <c r="I25">
        <v>51</v>
      </c>
      <c r="J25">
        <v>6</v>
      </c>
      <c r="L25">
        <f t="shared" si="1"/>
        <v>18</v>
      </c>
    </row>
    <row r="26" spans="8:12" x14ac:dyDescent="0.45">
      <c r="H26">
        <v>3</v>
      </c>
      <c r="I26">
        <v>51</v>
      </c>
      <c r="J26">
        <v>6</v>
      </c>
      <c r="L26">
        <f t="shared" si="1"/>
        <v>18</v>
      </c>
    </row>
    <row r="27" spans="8:12" x14ac:dyDescent="0.45">
      <c r="H27">
        <v>3</v>
      </c>
      <c r="I27">
        <v>51</v>
      </c>
      <c r="J27">
        <v>6</v>
      </c>
      <c r="L27">
        <f t="shared" si="1"/>
        <v>18</v>
      </c>
    </row>
    <row r="28" spans="8:12" x14ac:dyDescent="0.45">
      <c r="H28">
        <v>6</v>
      </c>
      <c r="I28">
        <v>102</v>
      </c>
      <c r="J28">
        <v>6</v>
      </c>
      <c r="L28">
        <f t="shared" si="1"/>
        <v>36</v>
      </c>
    </row>
    <row r="29" spans="8:12" x14ac:dyDescent="0.45">
      <c r="H29">
        <v>6</v>
      </c>
      <c r="I29">
        <v>102</v>
      </c>
      <c r="J29">
        <v>6</v>
      </c>
      <c r="L29">
        <f t="shared" si="1"/>
        <v>36</v>
      </c>
    </row>
    <row r="30" spans="8:12" x14ac:dyDescent="0.45">
      <c r="H30">
        <v>6</v>
      </c>
      <c r="I30">
        <v>102</v>
      </c>
      <c r="J30">
        <v>6</v>
      </c>
      <c r="L30">
        <f t="shared" si="1"/>
        <v>36</v>
      </c>
    </row>
    <row r="31" spans="8:12" x14ac:dyDescent="0.45">
      <c r="H31">
        <v>9</v>
      </c>
      <c r="I31">
        <v>153</v>
      </c>
      <c r="J31">
        <v>6</v>
      </c>
      <c r="L31">
        <f t="shared" si="1"/>
        <v>54</v>
      </c>
    </row>
    <row r="32" spans="8:12" x14ac:dyDescent="0.45">
      <c r="H32">
        <v>9</v>
      </c>
      <c r="I32">
        <v>153</v>
      </c>
      <c r="J32">
        <v>6</v>
      </c>
      <c r="L32">
        <f t="shared" si="1"/>
        <v>54</v>
      </c>
    </row>
    <row r="33" spans="8:12" x14ac:dyDescent="0.45">
      <c r="H33">
        <v>9</v>
      </c>
      <c r="I33">
        <v>153</v>
      </c>
      <c r="J33">
        <v>6</v>
      </c>
      <c r="L33">
        <f t="shared" si="1"/>
        <v>54</v>
      </c>
    </row>
    <row r="34" spans="8:12" x14ac:dyDescent="0.45">
      <c r="L34">
        <f>SUM(L2:L33)</f>
        <v>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2025-11-15T08:18:19Z</dcterms:created>
  <dcterms:modified xsi:type="dcterms:W3CDTF">2025-11-15T09:16:34Z</dcterms:modified>
</cp:coreProperties>
</file>