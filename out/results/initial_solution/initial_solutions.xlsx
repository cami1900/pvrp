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non\Documents\pvrp\out\results\initial_solution\"/>
    </mc:Choice>
  </mc:AlternateContent>
  <xr:revisionPtr revIDLastSave="0" documentId="13_ncr:1_{63925D73-198D-4248-8C31-32F3D28CA5BE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2" i="1"/>
</calcChain>
</file>

<file path=xl/sharedStrings.xml><?xml version="1.0" encoding="utf-8"?>
<sst xmlns="http://schemas.openxmlformats.org/spreadsheetml/2006/main" count="8" uniqueCount="8">
  <si>
    <t>Instance</t>
  </si>
  <si>
    <t>Vehicles</t>
  </si>
  <si>
    <t>Days</t>
  </si>
  <si>
    <t>Clients</t>
  </si>
  <si>
    <t>best result k.</t>
  </si>
  <si>
    <t>assignation</t>
  </si>
  <si>
    <t>VRP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</si>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</sst>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A7" workbookViewId="0">
      <selection activeCell="J27" sqref="J27"/>
    </sheetView>
  </sheetViews>
  <sheetFormatPr defaultRowHeight="14.25" x14ac:dyDescent="0.45"/>
  <cols>
    <col min="5" max="8" width="13.59765625" customWidth="1"/>
  </cols>
  <sheetData>
    <row r="1" spans="1:8" x14ac:dyDescent="0.45">
      <c r="A1" s="3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45">
      <c r="A2" s="4">
        <v>1</v>
      </c>
      <c r="B2">
        <v>3</v>
      </c>
      <c r="C2">
        <v>2</v>
      </c>
      <c r="D2">
        <v>52</v>
      </c>
      <c r="E2" s="2">
        <v>524.61</v>
      </c>
      <c r="F2">
        <v>705.04104519839802</v>
      </c>
      <c r="G2">
        <v>632.80143353469271</v>
      </c>
      <c r="H2">
        <f>((G2/E2)-1)*100</f>
        <v>20.623212202339403</v>
      </c>
    </row>
    <row r="3" spans="1:8" x14ac:dyDescent="0.45">
      <c r="A3" s="4">
        <v>2</v>
      </c>
      <c r="B3">
        <v>3</v>
      </c>
      <c r="C3">
        <v>5</v>
      </c>
      <c r="D3">
        <v>51</v>
      </c>
      <c r="E3" s="2">
        <v>1322.87</v>
      </c>
      <c r="F3">
        <v>1893.0731778643601</v>
      </c>
      <c r="G3">
        <v>1522.6268595778929</v>
      </c>
      <c r="H3">
        <f t="shared" ref="H3:H33" si="0">((G3/E3)-1)*100</f>
        <v>15.10026378842162</v>
      </c>
    </row>
    <row r="4" spans="1:8" x14ac:dyDescent="0.45">
      <c r="A4" s="4">
        <v>3</v>
      </c>
      <c r="B4">
        <v>1</v>
      </c>
      <c r="C4">
        <v>5</v>
      </c>
      <c r="D4">
        <v>51</v>
      </c>
      <c r="E4" s="2">
        <v>524.61</v>
      </c>
      <c r="F4">
        <v>705.04104519839825</v>
      </c>
      <c r="G4">
        <v>666.22663311637757</v>
      </c>
      <c r="H4">
        <f t="shared" si="0"/>
        <v>26.994649952608142</v>
      </c>
    </row>
    <row r="5" spans="1:8" x14ac:dyDescent="0.45">
      <c r="A5" s="4">
        <v>4</v>
      </c>
      <c r="B5">
        <v>5</v>
      </c>
      <c r="C5">
        <v>2</v>
      </c>
      <c r="D5">
        <v>76</v>
      </c>
      <c r="E5" s="2">
        <v>835.43</v>
      </c>
      <c r="F5">
        <v>1271.052745442707</v>
      </c>
      <c r="G5">
        <v>951.7029961939736</v>
      </c>
      <c r="H5">
        <f t="shared" si="0"/>
        <v>13.917742503138953</v>
      </c>
    </row>
    <row r="6" spans="1:8" x14ac:dyDescent="0.45">
      <c r="A6" s="4">
        <v>5</v>
      </c>
      <c r="B6">
        <v>6</v>
      </c>
      <c r="C6">
        <v>5</v>
      </c>
      <c r="D6">
        <v>76</v>
      </c>
      <c r="E6" s="2">
        <v>2027.99</v>
      </c>
      <c r="F6">
        <v>2924.280930459664</v>
      </c>
      <c r="G6">
        <v>2223.3601124766178</v>
      </c>
      <c r="H6">
        <f t="shared" si="0"/>
        <v>9.6336822408699128</v>
      </c>
    </row>
    <row r="7" spans="1:8" x14ac:dyDescent="0.45">
      <c r="A7" s="4">
        <v>6</v>
      </c>
      <c r="B7">
        <v>1</v>
      </c>
      <c r="C7">
        <v>10</v>
      </c>
      <c r="D7">
        <v>76</v>
      </c>
      <c r="E7" s="2">
        <v>836.37</v>
      </c>
      <c r="F7">
        <v>1271.052745442707</v>
      </c>
      <c r="G7">
        <v>1184.5535294308611</v>
      </c>
      <c r="H7">
        <f t="shared" si="0"/>
        <v>41.630322636017695</v>
      </c>
    </row>
    <row r="8" spans="1:8" x14ac:dyDescent="0.45">
      <c r="A8" s="4">
        <v>7</v>
      </c>
      <c r="B8">
        <v>4</v>
      </c>
      <c r="C8">
        <v>2</v>
      </c>
      <c r="D8">
        <v>101</v>
      </c>
      <c r="E8" s="2">
        <v>826.14</v>
      </c>
      <c r="F8">
        <v>1246.2923254872089</v>
      </c>
      <c r="G8">
        <v>993.00456406329386</v>
      </c>
      <c r="H8">
        <f t="shared" si="0"/>
        <v>20.198097666653815</v>
      </c>
    </row>
    <row r="9" spans="1:8" x14ac:dyDescent="0.45">
      <c r="A9" s="4">
        <v>8</v>
      </c>
      <c r="B9">
        <v>5</v>
      </c>
      <c r="C9">
        <v>5</v>
      </c>
      <c r="D9">
        <v>101</v>
      </c>
      <c r="E9" s="2">
        <v>2034.15</v>
      </c>
      <c r="F9">
        <v>2869.1412443405088</v>
      </c>
      <c r="G9">
        <v>2272.6839806654962</v>
      </c>
      <c r="H9">
        <f t="shared" si="0"/>
        <v>11.72646956544483</v>
      </c>
    </row>
    <row r="10" spans="1:8" x14ac:dyDescent="0.45">
      <c r="A10" s="4">
        <v>9</v>
      </c>
      <c r="B10">
        <v>1</v>
      </c>
      <c r="C10">
        <v>8</v>
      </c>
      <c r="D10">
        <v>101</v>
      </c>
      <c r="E10" s="2">
        <v>826.14</v>
      </c>
      <c r="F10">
        <v>1246.2923254872089</v>
      </c>
      <c r="G10">
        <v>1194.045264664388</v>
      </c>
      <c r="H10">
        <f t="shared" si="0"/>
        <v>44.533040969374206</v>
      </c>
    </row>
    <row r="11" spans="1:8" x14ac:dyDescent="0.45">
      <c r="A11" s="4">
        <v>10</v>
      </c>
      <c r="B11">
        <v>4</v>
      </c>
      <c r="C11">
        <v>5</v>
      </c>
      <c r="D11">
        <v>101</v>
      </c>
      <c r="E11" s="2">
        <v>1595.84</v>
      </c>
      <c r="F11">
        <v>2400.705019252659</v>
      </c>
      <c r="G11">
        <v>1964.1967935926509</v>
      </c>
      <c r="H11">
        <f t="shared" si="0"/>
        <v>23.08231361493953</v>
      </c>
    </row>
    <row r="12" spans="1:8" x14ac:dyDescent="0.45">
      <c r="A12" s="4">
        <v>11</v>
      </c>
      <c r="B12">
        <v>4</v>
      </c>
      <c r="C12">
        <v>5</v>
      </c>
      <c r="D12">
        <v>139</v>
      </c>
      <c r="E12" s="2">
        <v>779.29</v>
      </c>
      <c r="F12">
        <v>1185.110244949049</v>
      </c>
      <c r="G12">
        <v>911.87960310296239</v>
      </c>
      <c r="H12">
        <f t="shared" si="0"/>
        <v>17.014154307505859</v>
      </c>
    </row>
    <row r="13" spans="1:8" x14ac:dyDescent="0.45">
      <c r="A13" s="4">
        <v>12</v>
      </c>
      <c r="B13">
        <v>3</v>
      </c>
      <c r="C13">
        <v>5</v>
      </c>
      <c r="D13">
        <v>164</v>
      </c>
      <c r="E13" s="2">
        <v>1195.8800000000001</v>
      </c>
      <c r="F13">
        <v>1733.198849795293</v>
      </c>
      <c r="G13">
        <v>1522.5058460624771</v>
      </c>
      <c r="H13">
        <f t="shared" si="0"/>
        <v>27.312593743726545</v>
      </c>
    </row>
    <row r="14" spans="1:8" x14ac:dyDescent="0.45">
      <c r="A14" s="4">
        <v>13</v>
      </c>
      <c r="B14">
        <v>9</v>
      </c>
      <c r="C14">
        <v>7</v>
      </c>
      <c r="D14">
        <v>418</v>
      </c>
      <c r="E14" s="2">
        <v>3511.62</v>
      </c>
      <c r="F14">
        <v>6510.0267997700976</v>
      </c>
      <c r="G14">
        <v>4479.3779822203796</v>
      </c>
      <c r="H14">
        <f t="shared" si="0"/>
        <v>27.558733069648198</v>
      </c>
    </row>
    <row r="15" spans="1:8" x14ac:dyDescent="0.45">
      <c r="A15" s="4">
        <v>14</v>
      </c>
      <c r="B15">
        <v>2</v>
      </c>
      <c r="C15">
        <v>4</v>
      </c>
      <c r="D15">
        <v>21</v>
      </c>
      <c r="E15" s="2">
        <v>954.81</v>
      </c>
      <c r="F15">
        <v>971.93198644222366</v>
      </c>
      <c r="G15">
        <v>954.8071188975249</v>
      </c>
      <c r="H15">
        <f t="shared" si="0"/>
        <v>-3.017461563059598E-4</v>
      </c>
    </row>
    <row r="16" spans="1:8" x14ac:dyDescent="0.45">
      <c r="A16" s="4">
        <v>15</v>
      </c>
      <c r="B16">
        <v>2</v>
      </c>
      <c r="C16">
        <v>4</v>
      </c>
      <c r="D16">
        <v>39</v>
      </c>
      <c r="E16" s="2">
        <v>1862.63</v>
      </c>
      <c r="F16">
        <v>2239.861889085847</v>
      </c>
      <c r="G16">
        <v>1896.1093022338021</v>
      </c>
      <c r="H16">
        <f t="shared" si="0"/>
        <v>1.7974209710893696</v>
      </c>
    </row>
    <row r="17" spans="1:8" x14ac:dyDescent="0.45">
      <c r="A17" s="4">
        <v>16</v>
      </c>
      <c r="B17">
        <v>2</v>
      </c>
      <c r="C17">
        <v>4</v>
      </c>
      <c r="D17">
        <v>57</v>
      </c>
      <c r="E17" s="2">
        <v>2875.24</v>
      </c>
      <c r="F17">
        <v>3407.3951151262982</v>
      </c>
      <c r="G17">
        <v>3193.7704677345532</v>
      </c>
      <c r="H17">
        <f t="shared" si="0"/>
        <v>11.078395811638453</v>
      </c>
    </row>
    <row r="18" spans="1:8" x14ac:dyDescent="0.45">
      <c r="A18" s="4">
        <v>17</v>
      </c>
      <c r="B18">
        <v>4</v>
      </c>
      <c r="C18">
        <v>4</v>
      </c>
      <c r="D18">
        <v>41</v>
      </c>
      <c r="E18" s="2">
        <v>1597.75</v>
      </c>
      <c r="F18">
        <v>1720.1819538240591</v>
      </c>
      <c r="G18">
        <v>1643.6676807967131</v>
      </c>
      <c r="H18">
        <f t="shared" si="0"/>
        <v>2.8738964667008648</v>
      </c>
    </row>
    <row r="19" spans="1:8" x14ac:dyDescent="0.45">
      <c r="A19" s="4">
        <v>18</v>
      </c>
      <c r="B19">
        <v>4</v>
      </c>
      <c r="C19">
        <v>4</v>
      </c>
      <c r="D19">
        <v>77</v>
      </c>
      <c r="E19" s="2">
        <v>3147.24</v>
      </c>
      <c r="F19">
        <v>3425.3173166074398</v>
      </c>
      <c r="G19">
        <v>3215.4445377975048</v>
      </c>
      <c r="H19">
        <f t="shared" si="0"/>
        <v>2.1671222340051921</v>
      </c>
    </row>
    <row r="20" spans="1:8" x14ac:dyDescent="0.45">
      <c r="A20" s="4">
        <v>19</v>
      </c>
      <c r="B20">
        <v>4</v>
      </c>
      <c r="C20">
        <v>4</v>
      </c>
      <c r="D20">
        <v>113</v>
      </c>
      <c r="E20" s="2">
        <v>4834.34</v>
      </c>
      <c r="F20">
        <v>5056.3633949691684</v>
      </c>
      <c r="G20">
        <v>4846.4906161592344</v>
      </c>
      <c r="H20">
        <f t="shared" si="0"/>
        <v>0.25133971047204273</v>
      </c>
    </row>
    <row r="21" spans="1:8" x14ac:dyDescent="0.45">
      <c r="A21" s="4">
        <v>20</v>
      </c>
      <c r="B21">
        <v>4</v>
      </c>
      <c r="C21">
        <v>4</v>
      </c>
      <c r="D21">
        <v>185</v>
      </c>
      <c r="E21" s="2">
        <v>8367.4</v>
      </c>
      <c r="F21">
        <v>10520.288403223831</v>
      </c>
      <c r="G21">
        <v>9316.9258036650972</v>
      </c>
      <c r="H21">
        <f t="shared" si="0"/>
        <v>11.347919349679692</v>
      </c>
    </row>
    <row r="22" spans="1:8" x14ac:dyDescent="0.45">
      <c r="A22" s="4">
        <v>21</v>
      </c>
      <c r="B22">
        <v>6</v>
      </c>
      <c r="C22">
        <v>4</v>
      </c>
      <c r="D22">
        <v>61</v>
      </c>
      <c r="E22" s="2">
        <v>2184.04</v>
      </c>
      <c r="F22">
        <v>2487.6282137996991</v>
      </c>
      <c r="G22">
        <v>2197.2470591339129</v>
      </c>
      <c r="H22">
        <f t="shared" si="0"/>
        <v>0.60470774957934736</v>
      </c>
    </row>
    <row r="23" spans="1:8" x14ac:dyDescent="0.45">
      <c r="A23" s="4">
        <v>22</v>
      </c>
      <c r="B23">
        <v>6</v>
      </c>
      <c r="C23">
        <v>4</v>
      </c>
      <c r="D23">
        <v>115</v>
      </c>
      <c r="E23" s="2">
        <v>4271.1099999999997</v>
      </c>
      <c r="F23">
        <v>4770.2609178412877</v>
      </c>
      <c r="G23">
        <v>4490.191016353102</v>
      </c>
      <c r="H23">
        <f t="shared" si="0"/>
        <v>5.1293695632540937</v>
      </c>
    </row>
    <row r="24" spans="1:8" x14ac:dyDescent="0.45">
      <c r="A24" s="4">
        <v>23</v>
      </c>
      <c r="B24">
        <v>6</v>
      </c>
      <c r="C24">
        <v>4</v>
      </c>
      <c r="D24">
        <v>169</v>
      </c>
      <c r="E24" s="2">
        <v>6602.59</v>
      </c>
      <c r="F24">
        <v>7372.2938809558209</v>
      </c>
      <c r="G24">
        <v>6824.4605789480211</v>
      </c>
      <c r="H24">
        <f t="shared" si="0"/>
        <v>3.3603567531532486</v>
      </c>
    </row>
    <row r="25" spans="1:8" x14ac:dyDescent="0.45">
      <c r="A25" s="4">
        <v>24</v>
      </c>
      <c r="B25">
        <v>3</v>
      </c>
      <c r="C25">
        <v>6</v>
      </c>
      <c r="D25">
        <v>52</v>
      </c>
      <c r="E25" s="2">
        <v>3687.46</v>
      </c>
      <c r="F25">
        <v>5192.7978020499941</v>
      </c>
      <c r="G25">
        <v>4232.551219690411</v>
      </c>
      <c r="H25">
        <f t="shared" si="0"/>
        <v>14.782295121585353</v>
      </c>
    </row>
    <row r="26" spans="1:8" x14ac:dyDescent="0.45">
      <c r="A26" s="4">
        <v>25</v>
      </c>
      <c r="B26">
        <v>3</v>
      </c>
      <c r="C26">
        <v>6</v>
      </c>
      <c r="D26">
        <v>52</v>
      </c>
      <c r="E26" s="2">
        <v>3777.15</v>
      </c>
      <c r="F26">
        <v>5192.7978020499941</v>
      </c>
      <c r="G26">
        <v>4382.9704422498453</v>
      </c>
      <c r="H26">
        <f t="shared" si="0"/>
        <v>16.039088790486076</v>
      </c>
    </row>
    <row r="27" spans="1:8" x14ac:dyDescent="0.45">
      <c r="A27" s="4">
        <v>26</v>
      </c>
      <c r="B27">
        <v>3</v>
      </c>
      <c r="C27">
        <v>6</v>
      </c>
      <c r="D27">
        <v>52</v>
      </c>
      <c r="E27" s="2">
        <v>3795.33</v>
      </c>
      <c r="F27">
        <v>5164.457484553559</v>
      </c>
      <c r="G27">
        <v>4481.3230962732023</v>
      </c>
      <c r="H27">
        <f t="shared" si="0"/>
        <v>18.074662711100274</v>
      </c>
    </row>
    <row r="28" spans="1:8" x14ac:dyDescent="0.45">
      <c r="A28" s="4">
        <v>27</v>
      </c>
      <c r="B28">
        <v>6</v>
      </c>
      <c r="C28">
        <v>6</v>
      </c>
      <c r="D28">
        <v>103</v>
      </c>
      <c r="E28" s="2">
        <v>21956.46</v>
      </c>
      <c r="F28">
        <v>34645.591944146523</v>
      </c>
      <c r="G28">
        <v>26246.021014864771</v>
      </c>
      <c r="H28">
        <f t="shared" si="0"/>
        <v>19.536669457939816</v>
      </c>
    </row>
    <row r="29" spans="1:8" x14ac:dyDescent="0.45">
      <c r="A29" s="4">
        <v>28</v>
      </c>
      <c r="B29">
        <v>6</v>
      </c>
      <c r="C29">
        <v>6</v>
      </c>
      <c r="D29">
        <v>103</v>
      </c>
      <c r="E29" s="2">
        <v>22934.71</v>
      </c>
      <c r="F29">
        <v>34645.591944146523</v>
      </c>
      <c r="G29">
        <v>26849.268998028328</v>
      </c>
      <c r="H29">
        <f t="shared" si="0"/>
        <v>17.068273363946297</v>
      </c>
    </row>
    <row r="30" spans="1:8" x14ac:dyDescent="0.45">
      <c r="A30" s="4">
        <v>29</v>
      </c>
      <c r="B30">
        <v>6</v>
      </c>
      <c r="C30">
        <v>6</v>
      </c>
      <c r="D30">
        <v>103</v>
      </c>
      <c r="E30" s="2">
        <v>22909.360000000001</v>
      </c>
      <c r="F30">
        <v>34833.251862195502</v>
      </c>
      <c r="G30">
        <v>26881.705809286719</v>
      </c>
      <c r="H30">
        <f t="shared" si="0"/>
        <v>17.339401053921712</v>
      </c>
    </row>
    <row r="31" spans="1:8" x14ac:dyDescent="0.45">
      <c r="A31" s="4">
        <v>30</v>
      </c>
      <c r="B31">
        <v>9</v>
      </c>
      <c r="C31">
        <v>6</v>
      </c>
      <c r="D31">
        <v>154</v>
      </c>
      <c r="E31" s="2">
        <v>75016.58</v>
      </c>
      <c r="F31">
        <v>127841.67299864261</v>
      </c>
      <c r="G31">
        <v>86704.776725412405</v>
      </c>
      <c r="H31">
        <f t="shared" si="0"/>
        <v>15.58081790107253</v>
      </c>
    </row>
    <row r="32" spans="1:8" x14ac:dyDescent="0.45">
      <c r="A32" s="4">
        <v>31</v>
      </c>
      <c r="B32">
        <v>9</v>
      </c>
      <c r="C32">
        <v>6</v>
      </c>
      <c r="D32">
        <v>154</v>
      </c>
      <c r="E32" s="2">
        <v>78179.89</v>
      </c>
      <c r="F32">
        <v>130046.5498716993</v>
      </c>
      <c r="G32">
        <v>88645.531409067713</v>
      </c>
      <c r="H32">
        <f t="shared" si="0"/>
        <v>13.386615674526681</v>
      </c>
    </row>
    <row r="33" spans="1:8" x14ac:dyDescent="0.45">
      <c r="A33" s="4">
        <v>32</v>
      </c>
      <c r="B33">
        <v>9</v>
      </c>
      <c r="C33">
        <v>6</v>
      </c>
      <c r="D33">
        <v>154</v>
      </c>
      <c r="E33" s="2">
        <v>80479.199999999997</v>
      </c>
      <c r="F33">
        <v>128684.64325494481</v>
      </c>
      <c r="G33">
        <v>90639.673945504677</v>
      </c>
      <c r="H33">
        <f t="shared" si="0"/>
        <v>12.624968868359376</v>
      </c>
    </row>
    <row r="34" spans="1:8" x14ac:dyDescent="0.45">
      <c r="H34" s="5">
        <f>SUM(H2:H33)/32</f>
        <v>15.074009252095088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menon</cp:lastModifiedBy>
  <dcterms:created xsi:type="dcterms:W3CDTF">2025-11-18T09:44:14Z</dcterms:created>
  <dcterms:modified xsi:type="dcterms:W3CDTF">2025-11-18T09:53:16Z</dcterms:modified>
</cp:coreProperties>
</file>