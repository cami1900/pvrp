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results_500_2opt\"/>
    </mc:Choice>
  </mc:AlternateContent>
  <xr:revisionPtr revIDLastSave="0" documentId="13_ncr:1_{3416EDD3-32B2-45B5-A56C-187C20A67A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2" i="1"/>
  <c r="T35" i="1"/>
  <c r="U35" i="1"/>
  <c r="V33" i="1"/>
  <c r="U33" i="1"/>
  <c r="T33" i="1"/>
  <c r="U32" i="1"/>
  <c r="T32" i="1"/>
  <c r="V32" i="1" s="1"/>
  <c r="U31" i="1"/>
  <c r="T31" i="1"/>
  <c r="V31" i="1" s="1"/>
  <c r="U30" i="1"/>
  <c r="T30" i="1"/>
  <c r="V30" i="1" s="1"/>
  <c r="U29" i="1"/>
  <c r="V29" i="1" s="1"/>
  <c r="T29" i="1"/>
  <c r="U28" i="1"/>
  <c r="V28" i="1" s="1"/>
  <c r="T28" i="1"/>
  <c r="U27" i="1"/>
  <c r="T27" i="1"/>
  <c r="V27" i="1" s="1"/>
  <c r="U26" i="1"/>
  <c r="T26" i="1"/>
  <c r="V26" i="1" s="1"/>
  <c r="U25" i="1"/>
  <c r="T25" i="1"/>
  <c r="V25" i="1" s="1"/>
  <c r="U24" i="1"/>
  <c r="T24" i="1"/>
  <c r="V24" i="1" s="1"/>
  <c r="U23" i="1"/>
  <c r="T23" i="1"/>
  <c r="V23" i="1" s="1"/>
  <c r="U22" i="1"/>
  <c r="T22" i="1"/>
  <c r="V22" i="1" s="1"/>
  <c r="U21" i="1"/>
  <c r="T21" i="1"/>
  <c r="V21" i="1" s="1"/>
  <c r="U20" i="1"/>
  <c r="T20" i="1"/>
  <c r="V20" i="1" s="1"/>
  <c r="U19" i="1"/>
  <c r="T19" i="1"/>
  <c r="V19" i="1" s="1"/>
  <c r="V18" i="1"/>
  <c r="U18" i="1"/>
  <c r="T18" i="1"/>
  <c r="V17" i="1"/>
  <c r="U17" i="1"/>
  <c r="T17" i="1"/>
  <c r="U16" i="1"/>
  <c r="T16" i="1"/>
  <c r="V16" i="1" s="1"/>
  <c r="U15" i="1"/>
  <c r="T15" i="1"/>
  <c r="V15" i="1" s="1"/>
  <c r="U13" i="1"/>
  <c r="V13" i="1" s="1"/>
  <c r="T13" i="1"/>
  <c r="U12" i="1"/>
  <c r="V12" i="1" s="1"/>
  <c r="T12" i="1"/>
  <c r="U11" i="1"/>
  <c r="T11" i="1"/>
  <c r="V11" i="1" s="1"/>
  <c r="U10" i="1"/>
  <c r="T10" i="1"/>
  <c r="V10" i="1" s="1"/>
  <c r="U9" i="1"/>
  <c r="T9" i="1"/>
  <c r="V9" i="1" s="1"/>
  <c r="U8" i="1"/>
  <c r="T8" i="1"/>
  <c r="V8" i="1" s="1"/>
  <c r="U7" i="1"/>
  <c r="T7" i="1"/>
  <c r="V7" i="1" s="1"/>
  <c r="U5" i="1"/>
  <c r="T5" i="1"/>
  <c r="V5" i="1" s="1"/>
  <c r="U4" i="1"/>
  <c r="T4" i="1"/>
  <c r="V4" i="1" s="1"/>
  <c r="U3" i="1"/>
  <c r="T3" i="1"/>
  <c r="V3" i="1" s="1"/>
  <c r="V2" i="1"/>
  <c r="U2" i="1"/>
  <c r="T2" i="1"/>
</calcChain>
</file>

<file path=xl/sharedStrings.xml><?xml version="1.0" encoding="utf-8"?>
<sst xmlns="http://schemas.openxmlformats.org/spreadsheetml/2006/main" count="52" uniqueCount="51">
  <si>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</si>
  <si>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</si>
  <si>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</si>
  <si>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</si>
  <si>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</si>
  <si>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</si>
  <si>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</si>
  <si>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</si>
  <si>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</si>
  <si>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</si>
  <si>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</si>
  <si>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</si>
  <si>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</si>
  <si>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</si>
  <si>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</si>
  <si>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</si>
  <si>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</si>
  <si>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</si>
  <si>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</si>
  <si>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</si>
  <si>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</si>
  <si>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</si>
  <si>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</si>
  <si>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</si>
  <si>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</si>
  <si>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</si>
  <si>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</si>
  <si>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</si>
  <si>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</si>
  <si>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</si>
  <si>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</si>
  <si>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</si>
  <si>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</si>
  <si>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</si>
  <si>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</si>
  <si>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</si>
  <si>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</si>
  <si>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</si>
  <si>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</si>
  <si>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</si>
  <si>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</si>
  <si>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</si>
  <si>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</si>
  <si>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</si>
  <si>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</si>
  <si>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</si>
  <si>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</si>
  <si>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best result k.</t>
  </si>
  <si>
    <t>% initial</t>
  </si>
  <si>
    <t>% VND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</si>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</sst>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  <xf numFmtId="2" fontId="0" fillId="3" borderId="0" xfId="0" applyNumberFormat="1" applyFill="1"/>
    <xf numFmtId="2" fontId="0" fillId="3" borderId="2" xfId="0" applyNumberFormat="1" applyFill="1" applyBorder="1"/>
    <xf numFmtId="2" fontId="0" fillId="0" borderId="2" xfId="0" applyNumberFormat="1" applyBorder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topLeftCell="G9" workbookViewId="0">
      <selection activeCell="U37" sqref="U37"/>
    </sheetView>
  </sheetViews>
  <sheetFormatPr defaultRowHeight="14.25" x14ac:dyDescent="0.45"/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47</v>
      </c>
      <c r="T1" s="1" t="s">
        <v>48</v>
      </c>
      <c r="U1" s="2" t="s">
        <v>49</v>
      </c>
      <c r="V1" s="1" t="s">
        <v>50</v>
      </c>
      <c r="X1" t="s">
        <v>49</v>
      </c>
    </row>
    <row r="2" spans="1:25" x14ac:dyDescent="0.45">
      <c r="A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>
        <v>612.05138459183331</v>
      </c>
      <c r="H2">
        <v>9.90625</v>
      </c>
      <c r="I2">
        <v>4</v>
      </c>
      <c r="J2">
        <v>500</v>
      </c>
      <c r="K2">
        <v>7200</v>
      </c>
      <c r="L2">
        <v>7200</v>
      </c>
      <c r="M2">
        <v>2</v>
      </c>
      <c r="N2">
        <v>5</v>
      </c>
      <c r="O2">
        <v>1</v>
      </c>
      <c r="P2">
        <v>1</v>
      </c>
      <c r="Q2">
        <v>0</v>
      </c>
      <c r="S2">
        <v>524.61</v>
      </c>
      <c r="T2" s="3">
        <f>(F2*100)/$S2-100</f>
        <v>33.421412332806398</v>
      </c>
      <c r="U2" s="4">
        <f>(G2*100)/$S2-100</f>
        <v>16.667883683466442</v>
      </c>
      <c r="V2" s="3">
        <f>T2-U2</f>
        <v>16.753528649339955</v>
      </c>
      <c r="X2">
        <v>14.33597526245488</v>
      </c>
      <c r="Y2" s="3">
        <f>X2-U2</f>
        <v>-2.3319084210115619</v>
      </c>
    </row>
    <row r="3" spans="1:25" x14ac:dyDescent="0.45">
      <c r="A3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>
        <v>1604.625358863972</v>
      </c>
      <c r="H3">
        <v>54.296875</v>
      </c>
      <c r="I3">
        <v>4</v>
      </c>
      <c r="J3">
        <v>500</v>
      </c>
      <c r="K3">
        <v>7200</v>
      </c>
      <c r="L3">
        <v>7200</v>
      </c>
      <c r="M3">
        <v>21</v>
      </c>
      <c r="N3">
        <v>3</v>
      </c>
      <c r="O3">
        <v>4</v>
      </c>
      <c r="P3">
        <v>0</v>
      </c>
      <c r="Q3">
        <v>1</v>
      </c>
      <c r="S3">
        <v>1322.87</v>
      </c>
      <c r="T3" s="3">
        <f t="shared" ref="T3:U33" si="0">(F3*100)/$S3-100</f>
        <v>36.523899785071563</v>
      </c>
      <c r="U3" s="4">
        <f t="shared" si="0"/>
        <v>21.298794202300471</v>
      </c>
      <c r="V3" s="3">
        <f t="shared" ref="V3:V33" si="1">T3-U3</f>
        <v>15.225105582771093</v>
      </c>
      <c r="X3">
        <v>17.436775798430105</v>
      </c>
      <c r="Y3" s="3">
        <f t="shared" ref="Y3:Y33" si="2">X3-U3</f>
        <v>-3.8620184038703655</v>
      </c>
    </row>
    <row r="4" spans="1:25" x14ac:dyDescent="0.45">
      <c r="A4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>
        <v>659.61809642999685</v>
      </c>
      <c r="H4">
        <v>2.53125</v>
      </c>
      <c r="I4">
        <v>1</v>
      </c>
      <c r="J4">
        <v>500</v>
      </c>
      <c r="K4">
        <v>7200</v>
      </c>
      <c r="L4">
        <v>7200</v>
      </c>
      <c r="M4">
        <v>6</v>
      </c>
      <c r="N4">
        <v>1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4">
        <f t="shared" si="0"/>
        <v>25.734945279349759</v>
      </c>
      <c r="V4" s="3">
        <f t="shared" si="1"/>
        <v>9.1686642540445433</v>
      </c>
      <c r="X4">
        <v>20.387421630404418</v>
      </c>
      <c r="Y4" s="3">
        <f t="shared" si="2"/>
        <v>-5.3475236489453408</v>
      </c>
    </row>
    <row r="5" spans="1:25" x14ac:dyDescent="0.45">
      <c r="A5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>
        <v>1054.966252371066</v>
      </c>
      <c r="H5">
        <v>19.890625</v>
      </c>
      <c r="I5">
        <v>4</v>
      </c>
      <c r="J5">
        <v>500</v>
      </c>
      <c r="K5">
        <v>7200</v>
      </c>
      <c r="L5">
        <v>7200</v>
      </c>
      <c r="M5">
        <v>3</v>
      </c>
      <c r="N5">
        <v>17</v>
      </c>
      <c r="O5">
        <v>3</v>
      </c>
      <c r="P5">
        <v>1</v>
      </c>
      <c r="Q5">
        <v>0</v>
      </c>
      <c r="S5">
        <v>835.43</v>
      </c>
      <c r="T5" s="3">
        <f t="shared" si="0"/>
        <v>42.628886277970167</v>
      </c>
      <c r="U5" s="4">
        <f t="shared" si="0"/>
        <v>26.278234247162075</v>
      </c>
      <c r="V5" s="3">
        <f t="shared" si="1"/>
        <v>16.350652030808092</v>
      </c>
      <c r="X5">
        <v>18.909799946582609</v>
      </c>
      <c r="Y5" s="3">
        <f t="shared" si="2"/>
        <v>-7.3684343005794659</v>
      </c>
    </row>
    <row r="6" spans="1:25" x14ac:dyDescent="0.45">
      <c r="S6">
        <v>2027.99</v>
      </c>
      <c r="T6" s="3"/>
      <c r="U6" s="4"/>
      <c r="V6" s="3"/>
      <c r="X6">
        <v>21.98363559760358</v>
      </c>
      <c r="Y6" s="3"/>
    </row>
    <row r="7" spans="1:25" x14ac:dyDescent="0.45">
      <c r="A7" t="s">
        <v>21</v>
      </c>
      <c r="B7">
        <v>1</v>
      </c>
      <c r="C7">
        <v>75</v>
      </c>
      <c r="D7">
        <v>10</v>
      </c>
      <c r="E7">
        <v>140</v>
      </c>
      <c r="F7">
        <v>1202.7378153136131</v>
      </c>
      <c r="G7">
        <v>1029.485884573028</v>
      </c>
      <c r="H7">
        <v>4.21875</v>
      </c>
      <c r="I7">
        <v>1</v>
      </c>
      <c r="J7">
        <v>500</v>
      </c>
      <c r="K7">
        <v>7200</v>
      </c>
      <c r="L7">
        <v>7200</v>
      </c>
      <c r="M7">
        <v>13</v>
      </c>
      <c r="N7">
        <v>1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4">
        <f t="shared" si="0"/>
        <v>23.089767037678058</v>
      </c>
      <c r="V7" s="3">
        <f t="shared" si="1"/>
        <v>20.714747150254681</v>
      </c>
      <c r="X7">
        <v>18.062397049330855</v>
      </c>
      <c r="Y7" s="3">
        <f t="shared" si="2"/>
        <v>-5.0273699883472034</v>
      </c>
    </row>
    <row r="8" spans="1:25" x14ac:dyDescent="0.45">
      <c r="A8" t="s">
        <v>22</v>
      </c>
      <c r="B8">
        <v>4</v>
      </c>
      <c r="C8">
        <v>100</v>
      </c>
      <c r="D8">
        <v>2</v>
      </c>
      <c r="E8">
        <v>200</v>
      </c>
      <c r="F8">
        <v>1215.7122377784151</v>
      </c>
      <c r="G8">
        <v>1083.1900255982241</v>
      </c>
      <c r="H8">
        <v>14.953125</v>
      </c>
      <c r="I8">
        <v>4</v>
      </c>
      <c r="J8">
        <v>500</v>
      </c>
      <c r="K8">
        <v>7200</v>
      </c>
      <c r="L8">
        <v>7200</v>
      </c>
      <c r="M8">
        <v>12</v>
      </c>
      <c r="N8">
        <v>6</v>
      </c>
      <c r="O8">
        <v>7</v>
      </c>
      <c r="P8">
        <v>0</v>
      </c>
      <c r="Q8">
        <v>0</v>
      </c>
      <c r="S8">
        <v>826.14</v>
      </c>
      <c r="T8" s="3">
        <f t="shared" si="0"/>
        <v>47.155716679789776</v>
      </c>
      <c r="U8" s="4">
        <f t="shared" si="0"/>
        <v>31.114584162275662</v>
      </c>
      <c r="V8" s="3">
        <f t="shared" si="1"/>
        <v>16.041132517514114</v>
      </c>
      <c r="X8">
        <v>20.459502538588751</v>
      </c>
      <c r="Y8" s="3">
        <f t="shared" si="2"/>
        <v>-10.655081623686911</v>
      </c>
    </row>
    <row r="9" spans="1:25" x14ac:dyDescent="0.45">
      <c r="A9" t="s">
        <v>23</v>
      </c>
      <c r="B9">
        <v>5</v>
      </c>
      <c r="C9">
        <v>100</v>
      </c>
      <c r="D9">
        <v>5</v>
      </c>
      <c r="E9">
        <v>200</v>
      </c>
      <c r="F9">
        <v>2739.4842456620681</v>
      </c>
      <c r="G9">
        <v>2620.68474983944</v>
      </c>
      <c r="H9">
        <v>103.875</v>
      </c>
      <c r="I9">
        <v>4</v>
      </c>
      <c r="J9">
        <v>500</v>
      </c>
      <c r="K9">
        <v>7200</v>
      </c>
      <c r="L9">
        <v>7200</v>
      </c>
      <c r="M9">
        <v>30</v>
      </c>
      <c r="N9">
        <v>2</v>
      </c>
      <c r="O9">
        <v>3</v>
      </c>
      <c r="P9">
        <v>0</v>
      </c>
      <c r="Q9">
        <v>0</v>
      </c>
      <c r="S9">
        <v>2034.15</v>
      </c>
      <c r="T9" s="3">
        <f t="shared" si="0"/>
        <v>34.674642758010378</v>
      </c>
      <c r="U9" s="4">
        <f t="shared" si="0"/>
        <v>28.834390277975558</v>
      </c>
      <c r="V9" s="3">
        <f t="shared" si="1"/>
        <v>5.8402524800348203</v>
      </c>
      <c r="X9">
        <v>28.758965765510709</v>
      </c>
      <c r="Y9" s="3">
        <f t="shared" si="2"/>
        <v>-7.5424512464849158E-2</v>
      </c>
    </row>
    <row r="10" spans="1:25" x14ac:dyDescent="0.45">
      <c r="A10" t="s">
        <v>24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>
        <v>989.88372523559224</v>
      </c>
      <c r="H10">
        <v>9.875</v>
      </c>
      <c r="I10">
        <v>1</v>
      </c>
      <c r="J10">
        <v>500</v>
      </c>
      <c r="K10">
        <v>7200</v>
      </c>
      <c r="L10">
        <v>7200</v>
      </c>
      <c r="M10">
        <v>69</v>
      </c>
      <c r="N10">
        <v>2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4">
        <f t="shared" si="0"/>
        <v>19.820336170091309</v>
      </c>
      <c r="V10" s="3">
        <f t="shared" si="1"/>
        <v>26.899417182928175</v>
      </c>
      <c r="X10">
        <v>17.607041743498257</v>
      </c>
      <c r="Y10" s="3">
        <f t="shared" si="2"/>
        <v>-2.2132944265930519</v>
      </c>
    </row>
    <row r="11" spans="1:25" x14ac:dyDescent="0.45">
      <c r="A11" t="s">
        <v>25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>
        <v>2068.1528809656229</v>
      </c>
      <c r="H11">
        <v>40.296875</v>
      </c>
      <c r="I11">
        <v>4</v>
      </c>
      <c r="J11">
        <v>500</v>
      </c>
      <c r="K11">
        <v>7200</v>
      </c>
      <c r="L11">
        <v>7200</v>
      </c>
      <c r="M11">
        <v>44</v>
      </c>
      <c r="N11">
        <v>4</v>
      </c>
      <c r="O11">
        <v>2</v>
      </c>
      <c r="P11">
        <v>2</v>
      </c>
      <c r="Q11">
        <v>0</v>
      </c>
      <c r="S11">
        <v>1595.84</v>
      </c>
      <c r="T11" s="3">
        <f t="shared" si="0"/>
        <v>45.725262679032738</v>
      </c>
      <c r="U11" s="4">
        <f t="shared" si="0"/>
        <v>29.596505975888761</v>
      </c>
      <c r="V11" s="3">
        <f t="shared" si="1"/>
        <v>16.128756703143978</v>
      </c>
      <c r="X11">
        <v>25.230067034644094</v>
      </c>
      <c r="Y11" s="3">
        <f t="shared" si="2"/>
        <v>-4.3664389412446667</v>
      </c>
    </row>
    <row r="12" spans="1:25" x14ac:dyDescent="0.45">
      <c r="A12" t="s">
        <v>26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>
        <v>1064.639143852595</v>
      </c>
      <c r="H12">
        <v>85.34375</v>
      </c>
      <c r="I12">
        <v>4</v>
      </c>
      <c r="J12">
        <v>500</v>
      </c>
      <c r="K12">
        <v>7200</v>
      </c>
      <c r="L12">
        <v>7200</v>
      </c>
      <c r="M12">
        <v>77</v>
      </c>
      <c r="N12">
        <v>3</v>
      </c>
      <c r="O12">
        <v>2</v>
      </c>
      <c r="P12">
        <v>0</v>
      </c>
      <c r="Q12">
        <v>0</v>
      </c>
      <c r="S12">
        <v>779.29</v>
      </c>
      <c r="T12" s="3">
        <f t="shared" si="0"/>
        <v>47.549014909544866</v>
      </c>
      <c r="U12" s="4">
        <f t="shared" si="0"/>
        <v>36.616554023867252</v>
      </c>
      <c r="V12" s="3">
        <f t="shared" si="1"/>
        <v>10.932460885677614</v>
      </c>
      <c r="X12">
        <v>22.900491581870355</v>
      </c>
      <c r="Y12" s="3">
        <f t="shared" si="2"/>
        <v>-13.716062441996897</v>
      </c>
    </row>
    <row r="13" spans="1:25" x14ac:dyDescent="0.45">
      <c r="A13" t="s">
        <v>27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>
        <v>1629.396961331877</v>
      </c>
      <c r="H13">
        <v>34.375</v>
      </c>
      <c r="I13">
        <v>4</v>
      </c>
      <c r="J13">
        <v>500</v>
      </c>
      <c r="K13">
        <v>7200</v>
      </c>
      <c r="L13">
        <v>7200</v>
      </c>
      <c r="M13">
        <v>76</v>
      </c>
      <c r="N13">
        <v>1</v>
      </c>
      <c r="O13">
        <v>0</v>
      </c>
      <c r="P13">
        <v>0</v>
      </c>
      <c r="Q13">
        <v>0</v>
      </c>
      <c r="S13">
        <v>1195.8800000000001</v>
      </c>
      <c r="T13" s="3">
        <f t="shared" si="0"/>
        <v>46.057768218552695</v>
      </c>
      <c r="U13" s="4">
        <f t="shared" si="0"/>
        <v>36.250874781071417</v>
      </c>
      <c r="V13" s="3">
        <f t="shared" si="1"/>
        <v>9.8068934374812784</v>
      </c>
      <c r="X13">
        <v>28.404097818547996</v>
      </c>
      <c r="Y13" s="3">
        <f t="shared" si="2"/>
        <v>-7.8467769625234212</v>
      </c>
    </row>
    <row r="14" spans="1:25" ht="14.65" thickBot="1" x14ac:dyDescent="0.5">
      <c r="S14">
        <v>3511.62</v>
      </c>
      <c r="T14" s="3"/>
      <c r="U14" s="4"/>
      <c r="V14" s="3"/>
      <c r="X14">
        <v>52.338517305110628</v>
      </c>
      <c r="Y14" s="3"/>
    </row>
    <row r="15" spans="1:25" ht="14.65" thickBot="1" x14ac:dyDescent="0.5">
      <c r="A15" t="s">
        <v>28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>
        <v>954.80711889752502</v>
      </c>
      <c r="H15">
        <v>4.5</v>
      </c>
      <c r="I15">
        <v>4</v>
      </c>
      <c r="J15">
        <v>500</v>
      </c>
      <c r="K15">
        <v>7200</v>
      </c>
      <c r="L15">
        <v>7200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5">
        <f t="shared" si="0"/>
        <v>-3.0174615629618984E-4</v>
      </c>
      <c r="V15" s="6">
        <f t="shared" si="1"/>
        <v>0</v>
      </c>
      <c r="X15">
        <v>-3.0174615629618984E-4</v>
      </c>
      <c r="Y15" s="3">
        <f t="shared" si="2"/>
        <v>0</v>
      </c>
    </row>
    <row r="16" spans="1:25" ht="14.65" thickBot="1" x14ac:dyDescent="0.5">
      <c r="A16" t="s">
        <v>29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>
        <v>1899.885733385785</v>
      </c>
      <c r="H16">
        <v>4.390625</v>
      </c>
      <c r="I16">
        <v>4</v>
      </c>
      <c r="J16">
        <v>500</v>
      </c>
      <c r="K16">
        <v>7200</v>
      </c>
      <c r="L16">
        <v>7200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5">
        <f t="shared" si="0"/>
        <v>2.0001682237365941</v>
      </c>
      <c r="V16" s="6">
        <f t="shared" si="1"/>
        <v>0</v>
      </c>
      <c r="X16">
        <v>2.0001682237365941</v>
      </c>
      <c r="Y16" s="3">
        <f t="shared" si="2"/>
        <v>0</v>
      </c>
    </row>
    <row r="17" spans="1:25" ht="14.65" thickBot="1" x14ac:dyDescent="0.5">
      <c r="A17" t="s">
        <v>30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>
        <v>3179.0510337214159</v>
      </c>
      <c r="H17">
        <v>8.5</v>
      </c>
      <c r="I17">
        <v>4</v>
      </c>
      <c r="J17">
        <v>500</v>
      </c>
      <c r="K17">
        <v>7200</v>
      </c>
      <c r="L17">
        <v>7200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4">
        <f t="shared" si="0"/>
        <v>10.566458233796695</v>
      </c>
      <c r="V17" s="3">
        <f t="shared" si="1"/>
        <v>0.76847467999847652</v>
      </c>
      <c r="X17">
        <v>10.566458233796695</v>
      </c>
      <c r="Y17" s="3">
        <f t="shared" si="2"/>
        <v>0</v>
      </c>
    </row>
    <row r="18" spans="1:25" ht="14.65" thickBot="1" x14ac:dyDescent="0.5">
      <c r="A18" t="s">
        <v>31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>
        <v>1703.872161915519</v>
      </c>
      <c r="H18">
        <v>5.359375</v>
      </c>
      <c r="I18">
        <v>4</v>
      </c>
      <c r="J18">
        <v>500</v>
      </c>
      <c r="K18">
        <v>7200</v>
      </c>
      <c r="L18">
        <v>7200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4">
        <f t="shared" si="0"/>
        <v>6.6419753976228577</v>
      </c>
      <c r="V18" s="6">
        <f t="shared" si="1"/>
        <v>0</v>
      </c>
      <c r="X18">
        <v>6.6419753976228577</v>
      </c>
      <c r="Y18" s="3">
        <f t="shared" si="2"/>
        <v>0</v>
      </c>
    </row>
    <row r="19" spans="1:25" ht="14.65" thickBot="1" x14ac:dyDescent="0.5">
      <c r="A19" t="s">
        <v>32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>
        <v>3217.167440359513</v>
      </c>
      <c r="H19">
        <v>6.578125</v>
      </c>
      <c r="I19">
        <v>4</v>
      </c>
      <c r="J19">
        <v>500</v>
      </c>
      <c r="K19">
        <v>7200</v>
      </c>
      <c r="L19">
        <v>7200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5">
        <f t="shared" si="0"/>
        <v>2.2218655189789445</v>
      </c>
      <c r="V19" s="6">
        <f t="shared" si="1"/>
        <v>0</v>
      </c>
      <c r="X19">
        <v>2.2218655189789445</v>
      </c>
      <c r="Y19" s="3">
        <f t="shared" si="2"/>
        <v>0</v>
      </c>
    </row>
    <row r="20" spans="1:25" ht="14.65" thickBot="1" x14ac:dyDescent="0.5">
      <c r="A20" t="s">
        <v>33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>
        <v>4855.7678865271791</v>
      </c>
      <c r="H20">
        <v>6.53125</v>
      </c>
      <c r="I20">
        <v>4</v>
      </c>
      <c r="J20">
        <v>500</v>
      </c>
      <c r="K20">
        <v>7200</v>
      </c>
      <c r="L20">
        <v>7200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5">
        <f t="shared" si="0"/>
        <v>0.44324326644751011</v>
      </c>
      <c r="V20" s="6">
        <f t="shared" si="1"/>
        <v>0</v>
      </c>
      <c r="X20">
        <v>0.44324326644751011</v>
      </c>
      <c r="Y20" s="3">
        <f t="shared" si="2"/>
        <v>0</v>
      </c>
    </row>
    <row r="21" spans="1:25" ht="14.65" thickBot="1" x14ac:dyDescent="0.5">
      <c r="A21" t="s">
        <v>34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>
        <v>9441.6174868667931</v>
      </c>
      <c r="H21">
        <v>10.65625</v>
      </c>
      <c r="I21">
        <v>4</v>
      </c>
      <c r="J21">
        <v>500</v>
      </c>
      <c r="K21">
        <v>7200</v>
      </c>
      <c r="L21">
        <v>7200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4">
        <f t="shared" si="0"/>
        <v>12.838127576867279</v>
      </c>
      <c r="V21" s="6">
        <f t="shared" si="1"/>
        <v>0</v>
      </c>
      <c r="X21">
        <v>12.838127576867279</v>
      </c>
      <c r="Y21" s="3">
        <f t="shared" si="2"/>
        <v>0</v>
      </c>
    </row>
    <row r="22" spans="1:25" ht="14.65" thickBot="1" x14ac:dyDescent="0.5">
      <c r="A22" t="s">
        <v>35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>
        <v>2476.4553897065998</v>
      </c>
      <c r="H22">
        <v>9.78125</v>
      </c>
      <c r="I22">
        <v>4</v>
      </c>
      <c r="J22">
        <v>500</v>
      </c>
      <c r="K22">
        <v>7200</v>
      </c>
      <c r="L22">
        <v>7200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4">
        <f t="shared" si="0"/>
        <v>13.38873783019541</v>
      </c>
      <c r="V22" s="6">
        <f t="shared" si="1"/>
        <v>0</v>
      </c>
      <c r="X22">
        <v>13.38873783019541</v>
      </c>
      <c r="Y22" s="3">
        <f t="shared" si="2"/>
        <v>0</v>
      </c>
    </row>
    <row r="23" spans="1:25" ht="14.65" thickBot="1" x14ac:dyDescent="0.5">
      <c r="A23" t="s">
        <v>36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>
        <v>4608.9469410204683</v>
      </c>
      <c r="H23">
        <v>13.4375</v>
      </c>
      <c r="I23">
        <v>4</v>
      </c>
      <c r="J23">
        <v>500</v>
      </c>
      <c r="K23">
        <v>7200</v>
      </c>
      <c r="L23">
        <v>7200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4">
        <f t="shared" si="0"/>
        <v>7.9098159733762117</v>
      </c>
      <c r="V23" s="6">
        <f t="shared" si="1"/>
        <v>0</v>
      </c>
      <c r="X23">
        <v>7.9098159733762117</v>
      </c>
      <c r="Y23" s="3">
        <f t="shared" si="2"/>
        <v>0</v>
      </c>
    </row>
    <row r="24" spans="1:25" ht="14.65" thickBot="1" x14ac:dyDescent="0.5">
      <c r="A24" t="s">
        <v>37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>
        <v>6836.8705930980686</v>
      </c>
      <c r="H24">
        <v>19.4375</v>
      </c>
      <c r="I24">
        <v>4</v>
      </c>
      <c r="J24">
        <v>500</v>
      </c>
      <c r="K24">
        <v>7200</v>
      </c>
      <c r="L24">
        <v>7200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5">
        <f t="shared" si="0"/>
        <v>3.5483135117896012</v>
      </c>
      <c r="V24" s="6">
        <f t="shared" si="1"/>
        <v>0</v>
      </c>
      <c r="X24">
        <v>3.5483135117896012</v>
      </c>
      <c r="Y24" s="3">
        <f t="shared" si="2"/>
        <v>0</v>
      </c>
    </row>
    <row r="25" spans="1:25" x14ac:dyDescent="0.45">
      <c r="A25" t="s">
        <v>38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>
        <v>4416.3714278807402</v>
      </c>
      <c r="H25">
        <v>83.734375</v>
      </c>
      <c r="I25">
        <v>4</v>
      </c>
      <c r="J25">
        <v>500</v>
      </c>
      <c r="K25">
        <v>7200</v>
      </c>
      <c r="L25">
        <v>7200</v>
      </c>
      <c r="M25">
        <v>31</v>
      </c>
      <c r="N25">
        <v>5</v>
      </c>
      <c r="O25">
        <v>1</v>
      </c>
      <c r="P25">
        <v>1</v>
      </c>
      <c r="Q25">
        <v>0</v>
      </c>
      <c r="S25">
        <v>3687.46</v>
      </c>
      <c r="T25" s="3">
        <f t="shared" si="0"/>
        <v>38.542844102855923</v>
      </c>
      <c r="U25" s="4">
        <f t="shared" si="0"/>
        <v>19.767303994639676</v>
      </c>
      <c r="V25" s="3">
        <f t="shared" si="1"/>
        <v>18.775540108216248</v>
      </c>
      <c r="X25">
        <v>18.211994006982479</v>
      </c>
      <c r="Y25" s="3">
        <f t="shared" si="2"/>
        <v>-1.5553099876571963</v>
      </c>
    </row>
    <row r="26" spans="1:25" x14ac:dyDescent="0.45">
      <c r="A26" t="s">
        <v>39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>
        <v>4416.3714278807402</v>
      </c>
      <c r="H26">
        <v>83.625</v>
      </c>
      <c r="I26">
        <v>4</v>
      </c>
      <c r="J26">
        <v>500</v>
      </c>
      <c r="K26">
        <v>7200</v>
      </c>
      <c r="L26">
        <v>7200</v>
      </c>
      <c r="M26">
        <v>31</v>
      </c>
      <c r="N26">
        <v>5</v>
      </c>
      <c r="O26">
        <v>1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4">
        <f t="shared" si="0"/>
        <v>16.923379476079589</v>
      </c>
      <c r="V26" s="3">
        <f t="shared" si="1"/>
        <v>18.329707088001015</v>
      </c>
      <c r="X26">
        <v>15.405000971893514</v>
      </c>
      <c r="Y26" s="3">
        <f t="shared" si="2"/>
        <v>-1.5183785041860745</v>
      </c>
    </row>
    <row r="27" spans="1:25" x14ac:dyDescent="0.45">
      <c r="A27" t="s">
        <v>40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>
        <v>4490.6565205837342</v>
      </c>
      <c r="H27">
        <v>82.9375</v>
      </c>
      <c r="I27">
        <v>4</v>
      </c>
      <c r="J27">
        <v>500</v>
      </c>
      <c r="K27">
        <v>7200</v>
      </c>
      <c r="L27">
        <v>7200</v>
      </c>
      <c r="M27">
        <v>34</v>
      </c>
      <c r="N27">
        <v>6</v>
      </c>
      <c r="O27">
        <v>0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4">
        <f t="shared" si="0"/>
        <v>18.320581361402944</v>
      </c>
      <c r="V27" s="3">
        <f t="shared" si="1"/>
        <v>15.936522573145069</v>
      </c>
      <c r="X27">
        <v>16.728971681500383</v>
      </c>
      <c r="Y27" s="3">
        <f t="shared" si="2"/>
        <v>-1.591609679902561</v>
      </c>
    </row>
    <row r="28" spans="1:25" x14ac:dyDescent="0.45">
      <c r="A28" t="s">
        <v>41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>
        <v>30681.05628230438</v>
      </c>
      <c r="H28">
        <v>179.0625</v>
      </c>
      <c r="I28">
        <v>4</v>
      </c>
      <c r="J28">
        <v>500</v>
      </c>
      <c r="K28">
        <v>7200</v>
      </c>
      <c r="L28">
        <v>7200</v>
      </c>
      <c r="M28">
        <v>39</v>
      </c>
      <c r="N28">
        <v>5</v>
      </c>
      <c r="O28">
        <v>1</v>
      </c>
      <c r="P28">
        <v>0</v>
      </c>
      <c r="Q28">
        <v>0</v>
      </c>
      <c r="S28">
        <v>21956.46</v>
      </c>
      <c r="T28" s="3">
        <f t="shared" si="0"/>
        <v>53.916490535773249</v>
      </c>
      <c r="U28" s="4">
        <f t="shared" si="0"/>
        <v>39.735896780739608</v>
      </c>
      <c r="V28" s="3">
        <f t="shared" si="1"/>
        <v>14.180593755033641</v>
      </c>
      <c r="X28">
        <v>32.223115759223418</v>
      </c>
      <c r="Y28" s="3">
        <f t="shared" si="2"/>
        <v>-7.5127810215161901</v>
      </c>
    </row>
    <row r="29" spans="1:25" x14ac:dyDescent="0.45">
      <c r="A29" t="s">
        <v>42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>
        <v>29635.21202436191</v>
      </c>
      <c r="H29">
        <v>908.890625</v>
      </c>
      <c r="I29">
        <v>4</v>
      </c>
      <c r="J29">
        <v>500</v>
      </c>
      <c r="K29">
        <v>7200</v>
      </c>
      <c r="L29">
        <v>7200</v>
      </c>
      <c r="M29">
        <v>68</v>
      </c>
      <c r="N29">
        <v>32</v>
      </c>
      <c r="O29">
        <v>13</v>
      </c>
      <c r="P29">
        <v>0</v>
      </c>
      <c r="Q29">
        <v>0</v>
      </c>
      <c r="S29">
        <v>22934.71</v>
      </c>
      <c r="T29" s="3">
        <f t="shared" si="0"/>
        <v>47.351384333574913</v>
      </c>
      <c r="U29" s="4">
        <f t="shared" si="0"/>
        <v>29.215551556404733</v>
      </c>
      <c r="V29" s="3">
        <f t="shared" si="1"/>
        <v>18.135832777170179</v>
      </c>
      <c r="X29">
        <v>28.944748007035912</v>
      </c>
      <c r="Y29" s="3">
        <f t="shared" si="2"/>
        <v>-0.27080354936882145</v>
      </c>
    </row>
    <row r="30" spans="1:25" x14ac:dyDescent="0.45">
      <c r="A30" t="s">
        <v>43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>
        <v>28315.731404387021</v>
      </c>
      <c r="H30">
        <v>1138.46875</v>
      </c>
      <c r="I30">
        <v>4</v>
      </c>
      <c r="J30">
        <v>500</v>
      </c>
      <c r="K30">
        <v>7200</v>
      </c>
      <c r="L30">
        <v>7200</v>
      </c>
      <c r="M30">
        <v>80</v>
      </c>
      <c r="N30">
        <v>57</v>
      </c>
      <c r="O30">
        <v>12</v>
      </c>
      <c r="P30">
        <v>3</v>
      </c>
      <c r="Q30">
        <v>0</v>
      </c>
      <c r="S30">
        <v>22909.360000000001</v>
      </c>
      <c r="T30" s="3">
        <f t="shared" si="0"/>
        <v>49.031898243534954</v>
      </c>
      <c r="U30" s="4">
        <f t="shared" si="0"/>
        <v>23.598963063075615</v>
      </c>
      <c r="V30" s="3">
        <f t="shared" si="1"/>
        <v>25.432935180459339</v>
      </c>
      <c r="X30">
        <v>30.063365614179133</v>
      </c>
      <c r="Y30" s="7">
        <f t="shared" si="2"/>
        <v>6.4644025511035181</v>
      </c>
    </row>
    <row r="31" spans="1:25" x14ac:dyDescent="0.45">
      <c r="A31" t="s">
        <v>44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>
        <v>103884.6951541241</v>
      </c>
      <c r="H31">
        <v>3399.796875</v>
      </c>
      <c r="I31">
        <v>4</v>
      </c>
      <c r="J31">
        <v>500</v>
      </c>
      <c r="K31">
        <v>7200</v>
      </c>
      <c r="L31">
        <v>7200</v>
      </c>
      <c r="M31">
        <v>103</v>
      </c>
      <c r="N31">
        <v>43</v>
      </c>
      <c r="O31">
        <v>24</v>
      </c>
      <c r="P31">
        <v>1</v>
      </c>
      <c r="Q31">
        <v>0</v>
      </c>
      <c r="S31">
        <v>75016.58</v>
      </c>
      <c r="T31" s="3">
        <f t="shared" si="0"/>
        <v>67.438417271665799</v>
      </c>
      <c r="U31" s="4">
        <f t="shared" si="0"/>
        <v>38.482313048827478</v>
      </c>
      <c r="V31" s="3">
        <f t="shared" si="1"/>
        <v>28.95610422283832</v>
      </c>
      <c r="X31">
        <v>33.063996728845524</v>
      </c>
      <c r="Y31" s="3">
        <f t="shared" si="2"/>
        <v>-5.4183163199819546</v>
      </c>
    </row>
    <row r="32" spans="1:25" x14ac:dyDescent="0.45">
      <c r="A32" t="s">
        <v>45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>
        <v>106044.35748578129</v>
      </c>
      <c r="H32">
        <v>4772.1875</v>
      </c>
      <c r="I32">
        <v>4</v>
      </c>
      <c r="J32">
        <v>500</v>
      </c>
      <c r="K32">
        <v>7200</v>
      </c>
      <c r="L32">
        <v>7200</v>
      </c>
      <c r="M32">
        <v>79</v>
      </c>
      <c r="N32">
        <v>75</v>
      </c>
      <c r="O32">
        <v>18</v>
      </c>
      <c r="P32">
        <v>2</v>
      </c>
      <c r="Q32">
        <v>1</v>
      </c>
      <c r="S32">
        <v>78179.89</v>
      </c>
      <c r="T32" s="3">
        <f t="shared" si="0"/>
        <v>63.258964455792125</v>
      </c>
      <c r="U32" s="4">
        <f t="shared" si="0"/>
        <v>35.6414769652161</v>
      </c>
      <c r="V32" s="3">
        <f t="shared" si="1"/>
        <v>27.617487490576025</v>
      </c>
      <c r="X32">
        <v>35.244722621667137</v>
      </c>
      <c r="Y32" s="3">
        <f t="shared" si="2"/>
        <v>-0.39675434354896311</v>
      </c>
    </row>
    <row r="33" spans="1:25" x14ac:dyDescent="0.45">
      <c r="A33" t="s">
        <v>46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>
        <v>105343.3344746341</v>
      </c>
      <c r="H33">
        <v>2196.46875</v>
      </c>
      <c r="I33">
        <v>4</v>
      </c>
      <c r="J33">
        <v>500</v>
      </c>
      <c r="K33">
        <v>7200</v>
      </c>
      <c r="L33">
        <v>7200</v>
      </c>
      <c r="M33">
        <v>74</v>
      </c>
      <c r="N33">
        <v>37</v>
      </c>
      <c r="O33">
        <v>17</v>
      </c>
      <c r="P33">
        <v>2</v>
      </c>
      <c r="Q33">
        <v>0</v>
      </c>
      <c r="S33">
        <v>80479.199999999997</v>
      </c>
      <c r="T33" s="3">
        <f t="shared" si="0"/>
        <v>57.00196666049041</v>
      </c>
      <c r="U33" s="4">
        <f t="shared" si="0"/>
        <v>30.895106405921155</v>
      </c>
      <c r="V33" s="3">
        <f t="shared" si="1"/>
        <v>26.106860254569256</v>
      </c>
      <c r="X33">
        <v>25.269925006932979</v>
      </c>
      <c r="Y33" s="3">
        <f t="shared" si="2"/>
        <v>-5.6251813989881754</v>
      </c>
    </row>
    <row r="35" spans="1:25" x14ac:dyDescent="0.45">
      <c r="T35" s="3">
        <f>SUM(T2:T33)/30</f>
        <v>32.184783842803149</v>
      </c>
      <c r="U35" s="4">
        <f>SUM(U2:U33)/30</f>
        <v>20.248061542669618</v>
      </c>
      <c r="X35">
        <v>18.797779164296646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2025-07-06T20:12:14Z</dcterms:created>
  <dcterms:modified xsi:type="dcterms:W3CDTF">2025-07-06T20:18:28Z</dcterms:modified>
</cp:coreProperties>
</file>