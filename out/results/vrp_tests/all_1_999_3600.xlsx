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710B854E-8E72-48EB-BBE7-6FF8B0241C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 vs no_rep" sheetId="1" r:id="rId1"/>
    <sheet name="new neig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E12" i="3"/>
  <c r="K4" i="3"/>
  <c r="K5" i="3"/>
  <c r="K6" i="3"/>
  <c r="K7" i="3"/>
  <c r="K9" i="3"/>
  <c r="K10" i="3"/>
  <c r="K3" i="3"/>
  <c r="H4" i="3"/>
  <c r="H5" i="3"/>
  <c r="H6" i="3"/>
  <c r="H7" i="3"/>
  <c r="H9" i="3"/>
  <c r="H10" i="3"/>
  <c r="H3" i="3"/>
  <c r="E4" i="3"/>
  <c r="E5" i="3"/>
  <c r="E6" i="3"/>
  <c r="E7" i="3"/>
  <c r="E9" i="3"/>
  <c r="E10" i="3"/>
  <c r="E3" i="3"/>
  <c r="J4" i="1"/>
  <c r="J5" i="1"/>
  <c r="J6" i="1"/>
  <c r="J7" i="1"/>
  <c r="J9" i="1"/>
  <c r="J10" i="1"/>
  <c r="J3" i="1"/>
  <c r="J12" i="1" s="1"/>
  <c r="F4" i="1"/>
  <c r="F5" i="1"/>
  <c r="F6" i="1"/>
  <c r="F7" i="1"/>
  <c r="F9" i="1"/>
  <c r="F10" i="1"/>
  <c r="F3" i="1"/>
  <c r="F12" i="1" l="1"/>
  <c r="K12" i="3"/>
</calcChain>
</file>

<file path=xl/sharedStrings.xml><?xml version="1.0" encoding="utf-8"?>
<sst xmlns="http://schemas.openxmlformats.org/spreadsheetml/2006/main" count="58" uniqueCount="42">
  <si>
    <t>instance</t>
  </si>
  <si>
    <t>best</t>
  </si>
  <si>
    <t>innital</t>
  </si>
  <si>
    <t>vnd</t>
  </si>
  <si>
    <t>% vnd</t>
  </si>
  <si>
    <t>p01</t>
  </si>
  <si>
    <t>p02</t>
  </si>
  <si>
    <t>p03</t>
  </si>
  <si>
    <t>p04</t>
  </si>
  <si>
    <t>p05</t>
  </si>
  <si>
    <t>p11</t>
  </si>
  <si>
    <t>p12</t>
  </si>
  <si>
    <t>no VND repetition</t>
  </si>
  <si>
    <t>VND repetition</t>
  </si>
  <si>
    <t>move_kt, f_swap_kt</t>
  </si>
  <si>
    <t>new_sol_neigh</t>
  </si>
  <si>
    <t>best OBJ_value</t>
  </si>
  <si>
    <t>8, 6</t>
  </si>
  <si>
    <t>8, 3</t>
  </si>
  <si>
    <t>36, 0</t>
  </si>
  <si>
    <t>110, 4</t>
  </si>
  <si>
    <t>164, 7</t>
  </si>
  <si>
    <t>bks</t>
  </si>
  <si>
    <t>1, 0</t>
  </si>
  <si>
    <t>25, 0</t>
  </si>
  <si>
    <r>
      <t xml:space="preserve">8, 4, </t>
    </r>
    <r>
      <rPr>
        <b/>
        <sz val="11"/>
        <color theme="1"/>
        <rFont val="Calibri"/>
        <family val="2"/>
        <scheme val="minor"/>
      </rPr>
      <t>0</t>
    </r>
  </si>
  <si>
    <r>
      <t xml:space="preserve">10, 8, </t>
    </r>
    <r>
      <rPr>
        <b/>
        <sz val="11"/>
        <color theme="1"/>
        <rFont val="Calibri"/>
        <family val="2"/>
        <scheme val="minor"/>
      </rPr>
      <t>0</t>
    </r>
  </si>
  <si>
    <r>
      <t>50, 2,</t>
    </r>
    <r>
      <rPr>
        <b/>
        <sz val="11"/>
        <color theme="1"/>
        <rFont val="Calibri"/>
        <family val="2"/>
        <scheme val="minor"/>
      </rPr>
      <t xml:space="preserve"> 0</t>
    </r>
  </si>
  <si>
    <r>
      <t xml:space="preserve">109, 5, </t>
    </r>
    <r>
      <rPr>
        <b/>
        <sz val="11"/>
        <color theme="1"/>
        <rFont val="Calibri"/>
        <family val="2"/>
        <scheme val="minor"/>
      </rPr>
      <t>0</t>
    </r>
  </si>
  <si>
    <r>
      <t xml:space="preserve">148, 5, </t>
    </r>
    <r>
      <rPr>
        <b/>
        <sz val="11"/>
        <color theme="1"/>
        <rFont val="Calibri"/>
        <family val="2"/>
        <scheme val="minor"/>
      </rPr>
      <t>3</t>
    </r>
  </si>
  <si>
    <r>
      <t xml:space="preserve">23, 0, </t>
    </r>
    <r>
      <rPr>
        <b/>
        <sz val="11"/>
        <color theme="1"/>
        <rFont val="Calibri"/>
        <family val="2"/>
        <scheme val="minor"/>
      </rPr>
      <t>3</t>
    </r>
  </si>
  <si>
    <r>
      <t xml:space="preserve">50, 1, </t>
    </r>
    <r>
      <rPr>
        <b/>
        <sz val="11"/>
        <color theme="1"/>
        <rFont val="Calibri"/>
        <family val="2"/>
        <scheme val="minor"/>
      </rPr>
      <t>0</t>
    </r>
  </si>
  <si>
    <r>
      <t>move_kt, f_swap_kt,</t>
    </r>
    <r>
      <rPr>
        <b/>
        <sz val="11"/>
        <color theme="1"/>
        <rFont val="Calibri"/>
        <family val="2"/>
        <scheme val="minor"/>
      </rPr>
      <t xml:space="preserve"> t_swap_k</t>
    </r>
  </si>
  <si>
    <r>
      <t xml:space="preserve">move_kt, </t>
    </r>
    <r>
      <rPr>
        <b/>
        <sz val="11"/>
        <color theme="1"/>
        <rFont val="Calibri"/>
        <family val="2"/>
        <scheme val="minor"/>
      </rPr>
      <t>t_swap_k</t>
    </r>
    <r>
      <rPr>
        <sz val="11"/>
        <color theme="1"/>
        <rFont val="Calibri"/>
        <family val="2"/>
        <scheme val="minor"/>
      </rPr>
      <t>, f_swap_kt</t>
    </r>
  </si>
  <si>
    <r>
      <t>9,</t>
    </r>
    <r>
      <rPr>
        <b/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, 0</t>
    </r>
  </si>
  <si>
    <r>
      <t xml:space="preserve">13,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</t>
    </r>
  </si>
  <si>
    <r>
      <t>48,</t>
    </r>
    <r>
      <rPr>
        <b/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Calibri"/>
        <family val="2"/>
        <scheme val="minor"/>
      </rPr>
      <t>, 4</t>
    </r>
  </si>
  <si>
    <r>
      <t xml:space="preserve">112,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</t>
    </r>
  </si>
  <si>
    <r>
      <t xml:space="preserve">151,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</si>
  <si>
    <r>
      <t xml:space="preserve">14,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0</t>
    </r>
  </si>
  <si>
    <r>
      <t xml:space="preserve">59,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</si>
  <si>
    <t>1 rep,   500 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</si>
</sst>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7030A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4" borderId="1" xfId="0" applyFill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 vertical="center" wrapText="1"/>
    </xf>
    <xf numFmtId="0" fontId="0" fillId="8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ill="1"/>
    <xf numFmtId="0" fontId="0" fillId="3" borderId="2" xfId="0" applyFont="1" applyFill="1" applyBorder="1" applyAlignment="1">
      <alignment horizontal="center" wrapText="1"/>
    </xf>
    <xf numFmtId="165" fontId="0" fillId="3" borderId="0" xfId="0" applyNumberFormat="1" applyFill="1"/>
    <xf numFmtId="165" fontId="0" fillId="3" borderId="3" xfId="0" applyNumberFormat="1" applyFill="1" applyBorder="1"/>
    <xf numFmtId="0" fontId="0" fillId="4" borderId="4" xfId="0" applyFill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165" fontId="0" fillId="0" borderId="0" xfId="0" applyNumberFormat="1" applyBorder="1"/>
    <xf numFmtId="0" fontId="3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E5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110" zoomScaleNormal="110" workbookViewId="0">
      <selection activeCell="N6" sqref="N6"/>
    </sheetView>
  </sheetViews>
  <sheetFormatPr defaultRowHeight="15" x14ac:dyDescent="0.25"/>
  <cols>
    <col min="3" max="12" width="13.7109375" customWidth="1"/>
  </cols>
  <sheetData>
    <row r="1" spans="1:12" x14ac:dyDescent="0.25">
      <c r="E1" s="8" t="s">
        <v>12</v>
      </c>
      <c r="F1" s="8"/>
      <c r="G1" s="8"/>
      <c r="H1" s="8"/>
      <c r="I1" s="9" t="s">
        <v>13</v>
      </c>
      <c r="J1" s="9"/>
      <c r="K1" s="21"/>
      <c r="L1" s="21"/>
    </row>
    <row r="2" spans="1:12" x14ac:dyDescent="0.25">
      <c r="A2" s="5" t="s">
        <v>0</v>
      </c>
      <c r="C2" s="4" t="s">
        <v>1</v>
      </c>
      <c r="D2" s="7" t="s">
        <v>2</v>
      </c>
      <c r="E2" s="24" t="s">
        <v>3</v>
      </c>
      <c r="F2" s="24" t="s">
        <v>4</v>
      </c>
      <c r="G2" s="7" t="s">
        <v>3</v>
      </c>
      <c r="H2" s="7" t="s">
        <v>4</v>
      </c>
      <c r="I2" s="6" t="s">
        <v>3</v>
      </c>
      <c r="J2" s="6" t="s">
        <v>4</v>
      </c>
      <c r="K2" s="22"/>
      <c r="L2" s="22"/>
    </row>
    <row r="3" spans="1:12" x14ac:dyDescent="0.25">
      <c r="A3" s="1" t="s">
        <v>5</v>
      </c>
      <c r="C3" s="2">
        <v>524.61099999999999</v>
      </c>
      <c r="D3">
        <v>686.47500000000002</v>
      </c>
      <c r="E3" s="25">
        <v>651.47400000000005</v>
      </c>
      <c r="F3" s="25">
        <f>(E3/$C3)*100-100</f>
        <v>24.182298884316197</v>
      </c>
      <c r="G3">
        <v>614.61300000000006</v>
      </c>
      <c r="H3">
        <v>17.155949837117419</v>
      </c>
      <c r="I3" s="3">
        <v>582.34998544940038</v>
      </c>
      <c r="J3" s="3">
        <f>(I3/$C3)*100-100</f>
        <v>11.006056954467283</v>
      </c>
      <c r="K3" s="23"/>
      <c r="L3" s="22"/>
    </row>
    <row r="4" spans="1:12" x14ac:dyDescent="0.25">
      <c r="A4" s="1" t="s">
        <v>6</v>
      </c>
      <c r="C4" s="2">
        <v>835.26199999999994</v>
      </c>
      <c r="D4">
        <v>1106.713</v>
      </c>
      <c r="E4" s="25">
        <v>993.51099999999997</v>
      </c>
      <c r="F4" s="25">
        <f t="shared" ref="F4:F10" si="0">(E4/$C4)*100-100</f>
        <v>18.946031305147386</v>
      </c>
      <c r="G4">
        <v>1073.9690000000001</v>
      </c>
      <c r="H4">
        <v>28.578697462592572</v>
      </c>
      <c r="I4" s="3">
        <v>882.7794414</v>
      </c>
      <c r="J4" s="3">
        <f t="shared" ref="J4:J10" si="1">(I4/$C4)*100-100</f>
        <v>5.6889265164702891</v>
      </c>
      <c r="K4" s="23"/>
      <c r="L4" s="22"/>
    </row>
    <row r="5" spans="1:12" x14ac:dyDescent="0.25">
      <c r="A5" s="1" t="s">
        <v>7</v>
      </c>
      <c r="C5" s="2">
        <v>826.13699999999994</v>
      </c>
      <c r="D5">
        <v>1092.2919999999999</v>
      </c>
      <c r="E5" s="25">
        <v>1004.371</v>
      </c>
      <c r="F5" s="25">
        <f t="shared" si="0"/>
        <v>21.574387783140097</v>
      </c>
      <c r="G5">
        <v>1010.235</v>
      </c>
      <c r="H5">
        <v>22.28419741519869</v>
      </c>
      <c r="I5" s="3">
        <v>889.97575259999996</v>
      </c>
      <c r="J5" s="3">
        <f t="shared" si="1"/>
        <v>7.7273808823476173</v>
      </c>
      <c r="K5" s="23"/>
      <c r="L5" s="22"/>
    </row>
    <row r="6" spans="1:12" ht="15.75" thickBot="1" x14ac:dyDescent="0.3">
      <c r="A6" s="1" t="s">
        <v>8</v>
      </c>
      <c r="C6" s="2">
        <v>1028.42</v>
      </c>
      <c r="D6">
        <v>1526.355</v>
      </c>
      <c r="E6" s="25">
        <v>1262.817</v>
      </c>
      <c r="F6" s="25">
        <f t="shared" si="0"/>
        <v>22.791952704148116</v>
      </c>
      <c r="G6">
        <v>1248.684</v>
      </c>
      <c r="H6">
        <v>21.417708718227942</v>
      </c>
      <c r="I6" s="3">
        <v>1142.6216830000001</v>
      </c>
      <c r="J6" s="3">
        <f t="shared" si="1"/>
        <v>11.104576243169134</v>
      </c>
      <c r="K6" s="23"/>
      <c r="L6" s="22"/>
    </row>
    <row r="7" spans="1:12" ht="15.75" thickBot="1" x14ac:dyDescent="0.3">
      <c r="A7" s="1" t="s">
        <v>9</v>
      </c>
      <c r="C7" s="2">
        <v>1291.289</v>
      </c>
      <c r="D7">
        <v>2004.114</v>
      </c>
      <c r="E7" s="25">
        <v>1711.635</v>
      </c>
      <c r="F7" s="25">
        <f t="shared" si="0"/>
        <v>32.55243404071436</v>
      </c>
      <c r="G7">
        <v>1591.569</v>
      </c>
      <c r="H7">
        <v>23.254283123297739</v>
      </c>
      <c r="I7" s="3">
        <v>1510.3913560000001</v>
      </c>
      <c r="J7" s="20">
        <f t="shared" si="1"/>
        <v>16.967724188775719</v>
      </c>
      <c r="K7" s="23"/>
      <c r="L7" s="22"/>
    </row>
    <row r="8" spans="1:12" ht="15.75" thickBot="1" x14ac:dyDescent="0.3">
      <c r="A8" s="1"/>
      <c r="C8" s="2"/>
      <c r="E8" s="25"/>
      <c r="F8" s="25"/>
      <c r="I8" s="3"/>
      <c r="J8" s="3"/>
      <c r="K8" s="23"/>
      <c r="L8" s="22"/>
    </row>
    <row r="9" spans="1:12" ht="15.75" thickBot="1" x14ac:dyDescent="0.3">
      <c r="A9" s="1" t="s">
        <v>10</v>
      </c>
      <c r="C9" s="2">
        <v>1042.1199999999999</v>
      </c>
      <c r="D9">
        <v>1707.7380000000001</v>
      </c>
      <c r="E9" s="25">
        <v>1630.5060000000001</v>
      </c>
      <c r="F9" s="25">
        <f t="shared" si="0"/>
        <v>56.460484397190356</v>
      </c>
      <c r="G9">
        <v>1702.7049999999999</v>
      </c>
      <c r="H9">
        <v>63.388573292902919</v>
      </c>
      <c r="I9" s="3">
        <v>1356.4629299999999</v>
      </c>
      <c r="J9" s="20">
        <f t="shared" si="1"/>
        <v>30.163793996852576</v>
      </c>
      <c r="K9" s="23"/>
      <c r="L9" s="22"/>
    </row>
    <row r="10" spans="1:12" x14ac:dyDescent="0.25">
      <c r="A10" s="1" t="s">
        <v>11</v>
      </c>
      <c r="C10" s="2">
        <v>819.55799999999999</v>
      </c>
      <c r="D10">
        <v>1265.6189999999999</v>
      </c>
      <c r="E10" s="25">
        <v>1014.316</v>
      </c>
      <c r="F10" s="25">
        <f t="shared" si="0"/>
        <v>23.763784869405228</v>
      </c>
      <c r="G10">
        <v>995.81700000000001</v>
      </c>
      <c r="H10">
        <v>21.506592577950556</v>
      </c>
      <c r="I10" s="3">
        <v>898.02258119999999</v>
      </c>
      <c r="J10" s="3">
        <f t="shared" si="1"/>
        <v>9.5740119918297495</v>
      </c>
      <c r="K10" s="23"/>
      <c r="L10" s="22"/>
    </row>
    <row r="11" spans="1:12" x14ac:dyDescent="0.25">
      <c r="E11" s="25"/>
      <c r="F11" s="25"/>
      <c r="K11" s="22"/>
      <c r="L11" s="22"/>
    </row>
    <row r="12" spans="1:12" x14ac:dyDescent="0.25">
      <c r="E12" s="25"/>
      <c r="F12" s="25">
        <f>(SUM(F3:F10))/7</f>
        <v>28.610196283437396</v>
      </c>
      <c r="H12">
        <v>28.226571775326835</v>
      </c>
      <c r="J12" s="3">
        <f>(SUM(J3:J10))/7</f>
        <v>13.176067253416052</v>
      </c>
      <c r="K12" s="22"/>
      <c r="L12" s="22"/>
    </row>
  </sheetData>
  <mergeCells count="3">
    <mergeCell ref="I1:J1"/>
    <mergeCell ref="K1:L1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B0CE-4802-4FC4-9DCB-052C2C7B7E42}">
  <dimension ref="A1:K12"/>
  <sheetViews>
    <sheetView workbookViewId="0">
      <selection activeCell="V16" sqref="V16"/>
    </sheetView>
  </sheetViews>
  <sheetFormatPr defaultRowHeight="15" x14ac:dyDescent="0.25"/>
  <cols>
    <col min="3" max="3" width="13.7109375" style="11" customWidth="1"/>
    <col min="4" max="11" width="13.7109375" customWidth="1"/>
    <col min="12" max="13" width="17.7109375" customWidth="1"/>
  </cols>
  <sheetData>
    <row r="1" spans="1:11" s="10" customFormat="1" ht="32.1" customHeight="1" x14ac:dyDescent="0.25">
      <c r="A1" s="14" t="s">
        <v>41</v>
      </c>
      <c r="B1" s="15"/>
      <c r="C1" s="13" t="s">
        <v>14</v>
      </c>
      <c r="D1" s="13"/>
      <c r="E1" s="13"/>
      <c r="F1" s="13" t="s">
        <v>32</v>
      </c>
      <c r="G1" s="13"/>
      <c r="H1" s="13"/>
      <c r="I1" s="13" t="s">
        <v>33</v>
      </c>
      <c r="J1" s="13"/>
      <c r="K1" s="13"/>
    </row>
    <row r="2" spans="1:11" s="10" customFormat="1" ht="15" customHeight="1" x14ac:dyDescent="0.25">
      <c r="A2" s="5" t="s">
        <v>0</v>
      </c>
      <c r="B2" s="4" t="s">
        <v>22</v>
      </c>
      <c r="C2" s="12" t="s">
        <v>15</v>
      </c>
      <c r="D2" s="17" t="s">
        <v>16</v>
      </c>
      <c r="E2" s="17"/>
      <c r="F2" s="12" t="s">
        <v>15</v>
      </c>
      <c r="G2" s="17" t="s">
        <v>16</v>
      </c>
      <c r="H2" s="17"/>
      <c r="I2" s="12" t="s">
        <v>15</v>
      </c>
      <c r="J2" s="17" t="s">
        <v>16</v>
      </c>
      <c r="K2" s="17"/>
    </row>
    <row r="3" spans="1:11" ht="15.75" thickBot="1" x14ac:dyDescent="0.3">
      <c r="A3" s="1" t="s">
        <v>5</v>
      </c>
      <c r="B3" s="2">
        <v>524.61099999999999</v>
      </c>
      <c r="C3" s="11" t="s">
        <v>17</v>
      </c>
      <c r="D3" s="18">
        <v>614.61300000000006</v>
      </c>
      <c r="E3" s="18">
        <f>(D3/$B3)*100-100</f>
        <v>17.155949837117419</v>
      </c>
      <c r="F3" s="11" t="s">
        <v>25</v>
      </c>
      <c r="G3" s="2">
        <v>605.37300000000005</v>
      </c>
      <c r="H3" s="18">
        <f>(G3/$B3)*100-100</f>
        <v>15.394644793952097</v>
      </c>
      <c r="I3" s="11" t="s">
        <v>34</v>
      </c>
      <c r="J3" s="2">
        <v>613.202</v>
      </c>
      <c r="K3" s="18">
        <f>(J3/$B3)*100-100</f>
        <v>16.886988644919754</v>
      </c>
    </row>
    <row r="4" spans="1:11" ht="15.75" thickBot="1" x14ac:dyDescent="0.3">
      <c r="A4" s="1" t="s">
        <v>6</v>
      </c>
      <c r="B4" s="2">
        <v>835.26199999999994</v>
      </c>
      <c r="C4" s="11" t="s">
        <v>18</v>
      </c>
      <c r="D4" s="18">
        <v>1073.9690000000001</v>
      </c>
      <c r="E4" s="18">
        <f t="shared" ref="E4:E10" si="0">(D4/$B4)*100-100</f>
        <v>28.578697462592572</v>
      </c>
      <c r="F4" s="11" t="s">
        <v>26</v>
      </c>
      <c r="G4" s="2">
        <v>1043.2570000000001</v>
      </c>
      <c r="H4" s="18">
        <f t="shared" ref="H4:H10" si="1">(G4/$B4)*100-100</f>
        <v>24.901767349645993</v>
      </c>
      <c r="I4" s="11" t="s">
        <v>35</v>
      </c>
      <c r="J4" s="2">
        <v>972.79300000000001</v>
      </c>
      <c r="K4" s="19">
        <f t="shared" ref="K4:K10" si="2">(J4/$B4)*100-100</f>
        <v>16.465611987615873</v>
      </c>
    </row>
    <row r="5" spans="1:11" x14ac:dyDescent="0.25">
      <c r="A5" s="1" t="s">
        <v>7</v>
      </c>
      <c r="B5" s="2">
        <v>826.13699999999994</v>
      </c>
      <c r="C5" s="11" t="s">
        <v>19</v>
      </c>
      <c r="D5" s="18">
        <v>1010.235</v>
      </c>
      <c r="E5" s="18">
        <f t="shared" si="0"/>
        <v>22.28419741519869</v>
      </c>
      <c r="F5" s="11" t="s">
        <v>27</v>
      </c>
      <c r="G5" s="2">
        <v>997.84</v>
      </c>
      <c r="H5" s="18">
        <f t="shared" si="1"/>
        <v>20.783840936793794</v>
      </c>
      <c r="I5" s="11" t="s">
        <v>36</v>
      </c>
      <c r="J5" s="2">
        <v>994.15599999999995</v>
      </c>
      <c r="K5" s="18">
        <f t="shared" si="2"/>
        <v>20.337910056080304</v>
      </c>
    </row>
    <row r="6" spans="1:11" x14ac:dyDescent="0.25">
      <c r="A6" s="1" t="s">
        <v>8</v>
      </c>
      <c r="B6" s="2">
        <v>1028.42</v>
      </c>
      <c r="C6" s="11" t="s">
        <v>20</v>
      </c>
      <c r="D6" s="18">
        <v>1248.684</v>
      </c>
      <c r="E6" s="18">
        <f t="shared" si="0"/>
        <v>21.417708718227942</v>
      </c>
      <c r="F6" s="11" t="s">
        <v>28</v>
      </c>
      <c r="G6" s="2">
        <v>1239.1590000000001</v>
      </c>
      <c r="H6" s="18">
        <f t="shared" si="1"/>
        <v>20.491530697574916</v>
      </c>
      <c r="I6" s="11" t="s">
        <v>37</v>
      </c>
      <c r="J6" s="2">
        <v>1241.8879999999999</v>
      </c>
      <c r="K6" s="18">
        <f t="shared" si="2"/>
        <v>20.756889208689032</v>
      </c>
    </row>
    <row r="7" spans="1:11" x14ac:dyDescent="0.25">
      <c r="A7" s="1" t="s">
        <v>9</v>
      </c>
      <c r="B7" s="2">
        <v>1291.289</v>
      </c>
      <c r="C7" s="11" t="s">
        <v>21</v>
      </c>
      <c r="D7" s="18">
        <v>1591.569</v>
      </c>
      <c r="E7" s="18">
        <f t="shared" si="0"/>
        <v>23.254283123297739</v>
      </c>
      <c r="F7" s="11" t="s">
        <v>29</v>
      </c>
      <c r="G7" s="2">
        <v>1599.0930000000001</v>
      </c>
      <c r="H7" s="18">
        <f t="shared" si="1"/>
        <v>23.836956715344144</v>
      </c>
      <c r="I7" s="11" t="s">
        <v>38</v>
      </c>
      <c r="J7" s="2">
        <v>1607.4939999999999</v>
      </c>
      <c r="K7" s="18">
        <f t="shared" si="2"/>
        <v>24.487546939530972</v>
      </c>
    </row>
    <row r="8" spans="1:11" x14ac:dyDescent="0.25">
      <c r="A8" s="1"/>
      <c r="B8" s="2"/>
      <c r="D8" s="18"/>
      <c r="E8" s="18"/>
      <c r="F8" s="11"/>
      <c r="G8" s="2"/>
      <c r="H8" s="18"/>
      <c r="I8" s="11"/>
      <c r="J8" s="2"/>
      <c r="K8" s="18"/>
    </row>
    <row r="9" spans="1:11" x14ac:dyDescent="0.25">
      <c r="A9" s="1" t="s">
        <v>10</v>
      </c>
      <c r="B9" s="2">
        <v>1042.1199999999999</v>
      </c>
      <c r="C9" s="11" t="s">
        <v>23</v>
      </c>
      <c r="D9" s="18">
        <v>1702.7049999999999</v>
      </c>
      <c r="E9" s="18">
        <f t="shared" si="0"/>
        <v>63.388573292902919</v>
      </c>
      <c r="F9" s="11" t="s">
        <v>30</v>
      </c>
      <c r="G9" s="2">
        <v>1607.37</v>
      </c>
      <c r="H9" s="18">
        <f t="shared" si="1"/>
        <v>54.240394580278661</v>
      </c>
      <c r="I9" s="11" t="s">
        <v>39</v>
      </c>
      <c r="J9" s="2">
        <v>1641.9570000000001</v>
      </c>
      <c r="K9" s="18">
        <f t="shared" si="2"/>
        <v>57.559302191686214</v>
      </c>
    </row>
    <row r="10" spans="1:11" x14ac:dyDescent="0.25">
      <c r="A10" s="1" t="s">
        <v>11</v>
      </c>
      <c r="B10" s="2">
        <v>819.55799999999999</v>
      </c>
      <c r="C10" s="11" t="s">
        <v>24</v>
      </c>
      <c r="D10" s="18">
        <v>995.81700000000001</v>
      </c>
      <c r="E10" s="18">
        <f t="shared" si="0"/>
        <v>21.506592577950556</v>
      </c>
      <c r="F10" s="11" t="s">
        <v>31</v>
      </c>
      <c r="G10" s="2">
        <v>1046.1510000000001</v>
      </c>
      <c r="H10" s="18">
        <f t="shared" si="1"/>
        <v>27.648195734774134</v>
      </c>
      <c r="I10" s="11" t="s">
        <v>40</v>
      </c>
      <c r="J10" s="2">
        <v>1021.542</v>
      </c>
      <c r="K10" s="18">
        <f t="shared" si="2"/>
        <v>24.645479636584611</v>
      </c>
    </row>
    <row r="11" spans="1:11" x14ac:dyDescent="0.25">
      <c r="B11" s="16"/>
    </row>
    <row r="12" spans="1:11" x14ac:dyDescent="0.25">
      <c r="E12">
        <f>SUM(E3:E10)/7</f>
        <v>28.226571775326835</v>
      </c>
      <c r="H12">
        <f>SUM(H3:H10)/7</f>
        <v>26.756761544051962</v>
      </c>
      <c r="K12">
        <f>SUM(K3:K10)/7</f>
        <v>25.877104095015252</v>
      </c>
    </row>
  </sheetData>
  <mergeCells count="3">
    <mergeCell ref="C1:E1"/>
    <mergeCell ref="F1:H1"/>
    <mergeCell ref="I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 vs no_rep</vt:lpstr>
      <vt:lpstr>new neigh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menon</dc:creator>
  <cp:lastModifiedBy>camilla menon</cp:lastModifiedBy>
  <dcterms:created xsi:type="dcterms:W3CDTF">2015-06-05T18:17:20Z</dcterms:created>
  <dcterms:modified xsi:type="dcterms:W3CDTF">2025-08-18T11:36:01Z</dcterms:modified>
</cp:coreProperties>
</file>