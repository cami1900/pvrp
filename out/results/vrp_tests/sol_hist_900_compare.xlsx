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43E0DA7C-8556-43AA-AC4D-737D2C7EBF8D}" xr6:coauthVersionLast="47" xr6:coauthVersionMax="47" xr10:uidLastSave="{00000000-0000-0000-0000-000000000000}"/>
  <bookViews>
    <workbookView xWindow="14303" yWindow="-213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F15" i="1" l="1"/>
  <c r="F16" i="1"/>
  <c r="F17" i="1"/>
  <c r="G17" i="1"/>
  <c r="H17" i="1"/>
  <c r="F18" i="1"/>
  <c r="E14" i="1"/>
  <c r="F14" i="1"/>
  <c r="D14" i="1"/>
</calcChain>
</file>

<file path=xl/sharedStrings.xml><?xml version="1.0" encoding="utf-8"?>
<sst xmlns="http://schemas.openxmlformats.org/spreadsheetml/2006/main" count="13" uniqueCount="10">
  <si>
    <t>ws_counter</t>
  </si>
  <si>
    <t xml:space="preserve">iterations </t>
  </si>
  <si>
    <t>BKS</t>
  </si>
  <si>
    <t>best_sol_OBJ</t>
  </si>
  <si>
    <t>time_limit_VND</t>
  </si>
  <si>
    <t>%</t>
  </si>
  <si>
    <t>OBJ value</t>
  </si>
  <si>
    <t>multiple repetitions (1, 999)</t>
  </si>
  <si>
    <t>neigh_order</t>
  </si>
  <si>
    <t>move_kt, f_swap_kt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</si>
</sst>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"/>
    <numFmt numFmtId="166" formatCode="0.0000"/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/>
    <xf numFmtId="0" fontId="0" fillId="0" borderId="0" xfId="0" applyFill="1" applyBorder="1"/>
    <xf numFmtId="0" fontId="0" fillId="0" borderId="5" xfId="0" applyFill="1" applyBorder="1"/>
    <xf numFmtId="0" fontId="0" fillId="0" borderId="7" xfId="0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0" borderId="4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165" fontId="0" fillId="2" borderId="7" xfId="0" applyNumberFormat="1" applyFill="1" applyBorder="1"/>
    <xf numFmtId="0" fontId="0" fillId="4" borderId="0" xfId="0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5" borderId="16" xfId="0" applyFill="1" applyBorder="1" applyAlignment="1">
      <alignment horizontal="center"/>
    </xf>
    <xf numFmtId="0" fontId="0" fillId="6" borderId="0" xfId="0" applyFill="1"/>
    <xf numFmtId="3" fontId="0" fillId="2" borderId="5" xfId="0" applyNumberFormat="1" applyFill="1" applyBorder="1"/>
    <xf numFmtId="167" fontId="0" fillId="2" borderId="9" xfId="0" applyNumberFormat="1" applyFill="1" applyBorder="1"/>
    <xf numFmtId="166" fontId="0" fillId="2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8"/>
  <sheetViews>
    <sheetView tabSelected="1" workbookViewId="0">
      <selection activeCell="L17" sqref="L17"/>
    </sheetView>
  </sheetViews>
  <sheetFormatPr defaultRowHeight="15" x14ac:dyDescent="0.25"/>
  <cols>
    <col min="1" max="1" width="4" customWidth="1"/>
    <col min="2" max="3" width="5.85546875" customWidth="1"/>
    <col min="4" max="8" width="13.7109375" customWidth="1"/>
    <col min="10" max="11" width="17.7109375" customWidth="1"/>
  </cols>
  <sheetData>
    <row r="1" spans="2:11" ht="15.75" thickBot="1" x14ac:dyDescent="0.3"/>
    <row r="2" spans="2:11" x14ac:dyDescent="0.25">
      <c r="B2" s="18" t="s">
        <v>6</v>
      </c>
      <c r="C2" s="19"/>
      <c r="D2" s="1" t="s">
        <v>0</v>
      </c>
      <c r="E2" s="1"/>
      <c r="F2" s="1"/>
      <c r="G2" s="1"/>
      <c r="H2" s="2"/>
      <c r="J2" s="22" t="s">
        <v>3</v>
      </c>
      <c r="K2" s="23">
        <v>882.77944138817838</v>
      </c>
    </row>
    <row r="3" spans="2:11" x14ac:dyDescent="0.25">
      <c r="B3" s="20"/>
      <c r="C3" s="21"/>
      <c r="D3" s="3">
        <v>5</v>
      </c>
      <c r="E3" s="3">
        <v>10</v>
      </c>
      <c r="F3" s="3">
        <v>15</v>
      </c>
      <c r="G3" s="17">
        <v>20</v>
      </c>
      <c r="H3" s="10">
        <v>25</v>
      </c>
      <c r="J3" s="24" t="s">
        <v>4</v>
      </c>
      <c r="K3" s="25">
        <v>3600</v>
      </c>
    </row>
    <row r="4" spans="2:11" ht="15" customHeight="1" thickBot="1" x14ac:dyDescent="0.3">
      <c r="B4" s="14" t="s">
        <v>1</v>
      </c>
      <c r="C4" s="3">
        <v>50</v>
      </c>
      <c r="D4" s="4">
        <v>1073.3620248455691</v>
      </c>
      <c r="E4" s="4">
        <v>1040.072897</v>
      </c>
      <c r="F4" s="4">
        <v>1023.300084</v>
      </c>
      <c r="G4" s="4"/>
      <c r="H4" s="5"/>
      <c r="J4" s="26" t="s">
        <v>5</v>
      </c>
      <c r="K4" s="27">
        <f>(K2/C10)*100-100</f>
        <v>5.6889265150549733</v>
      </c>
    </row>
    <row r="5" spans="2:11" x14ac:dyDescent="0.25">
      <c r="B5" s="14"/>
      <c r="C5" s="3">
        <v>100</v>
      </c>
      <c r="D5" s="4"/>
      <c r="E5" s="4"/>
      <c r="F5" s="4">
        <v>1002.089427</v>
      </c>
      <c r="G5" s="4"/>
      <c r="H5" s="5"/>
      <c r="J5" s="28" t="s">
        <v>7</v>
      </c>
      <c r="K5" s="28"/>
    </row>
    <row r="6" spans="2:11" ht="15.75" thickBot="1" x14ac:dyDescent="0.3">
      <c r="B6" s="14"/>
      <c r="C6" s="3">
        <v>150</v>
      </c>
      <c r="D6" s="4"/>
      <c r="E6" s="4"/>
      <c r="F6" s="4">
        <v>983.52707690337752</v>
      </c>
      <c r="G6" s="4"/>
      <c r="H6" s="5"/>
      <c r="J6" s="29" t="s">
        <v>8</v>
      </c>
      <c r="K6" t="s">
        <v>9</v>
      </c>
    </row>
    <row r="7" spans="2:11" ht="15.75" thickBot="1" x14ac:dyDescent="0.3">
      <c r="B7" s="14"/>
      <c r="C7" s="17">
        <v>200</v>
      </c>
      <c r="D7" s="4"/>
      <c r="E7" s="4"/>
      <c r="F7" s="8">
        <v>972.19930223435824</v>
      </c>
      <c r="G7" s="31">
        <v>949.66473989249005</v>
      </c>
      <c r="H7" s="30">
        <v>991.005702163823</v>
      </c>
    </row>
    <row r="8" spans="2:11" x14ac:dyDescent="0.25">
      <c r="B8" s="15"/>
      <c r="C8" s="11">
        <v>250</v>
      </c>
      <c r="D8" s="6"/>
      <c r="E8" s="6"/>
      <c r="F8" s="16">
        <v>987.02969966722605</v>
      </c>
      <c r="G8" s="6"/>
      <c r="H8" s="7"/>
    </row>
    <row r="10" spans="2:11" x14ac:dyDescent="0.25">
      <c r="B10" s="12" t="s">
        <v>2</v>
      </c>
      <c r="C10" s="13">
        <v>835.26199999999994</v>
      </c>
      <c r="D10" s="13"/>
    </row>
    <row r="12" spans="2:11" x14ac:dyDescent="0.25">
      <c r="B12" s="18" t="s">
        <v>5</v>
      </c>
      <c r="C12" s="19"/>
      <c r="D12" s="1" t="s">
        <v>0</v>
      </c>
      <c r="E12" s="1"/>
      <c r="F12" s="1"/>
      <c r="G12" s="1"/>
      <c r="H12" s="2"/>
    </row>
    <row r="13" spans="2:11" x14ac:dyDescent="0.25">
      <c r="B13" s="20"/>
      <c r="C13" s="21"/>
      <c r="D13" s="3">
        <v>5</v>
      </c>
      <c r="E13" s="3">
        <v>10</v>
      </c>
      <c r="F13" s="3">
        <v>15</v>
      </c>
      <c r="G13" s="9">
        <v>20</v>
      </c>
      <c r="H13" s="10">
        <v>25</v>
      </c>
    </row>
    <row r="14" spans="2:11" ht="15" customHeight="1" x14ac:dyDescent="0.25">
      <c r="B14" s="14" t="s">
        <v>1</v>
      </c>
      <c r="C14" s="3">
        <v>50</v>
      </c>
      <c r="D14" s="4">
        <f>(D4/$C$10)*100-100</f>
        <v>28.506028628809787</v>
      </c>
      <c r="E14" s="4">
        <f t="shared" ref="E14:H14" si="0">(E4/$C$10)*100-100</f>
        <v>24.520557262272206</v>
      </c>
      <c r="F14" s="4">
        <f t="shared" si="0"/>
        <v>22.51246722585249</v>
      </c>
      <c r="G14" s="4"/>
      <c r="H14" s="5"/>
    </row>
    <row r="15" spans="2:11" x14ac:dyDescent="0.25">
      <c r="B15" s="14"/>
      <c r="C15" s="3">
        <v>100</v>
      </c>
      <c r="D15" s="4"/>
      <c r="E15" s="4"/>
      <c r="F15" s="4">
        <f t="shared" ref="D15:H15" si="1">(F5/$C$10)*100-100</f>
        <v>19.973065577028535</v>
      </c>
      <c r="G15" s="4"/>
      <c r="H15" s="5"/>
    </row>
    <row r="16" spans="2:11" ht="15.75" thickBot="1" x14ac:dyDescent="0.3">
      <c r="B16" s="14"/>
      <c r="C16" s="3">
        <v>150</v>
      </c>
      <c r="D16" s="4"/>
      <c r="E16" s="4"/>
      <c r="F16" s="4">
        <f t="shared" ref="D16:H16" si="2">(F6/$C$10)*100-100</f>
        <v>17.750726945961588</v>
      </c>
      <c r="G16" s="4"/>
      <c r="H16" s="5"/>
    </row>
    <row r="17" spans="2:8" ht="15.75" thickBot="1" x14ac:dyDescent="0.3">
      <c r="B17" s="14"/>
      <c r="C17" s="17">
        <v>200</v>
      </c>
      <c r="D17" s="4"/>
      <c r="E17" s="4"/>
      <c r="F17" s="4">
        <f t="shared" ref="D17:H17" si="3">(F7/$C$10)*100-100</f>
        <v>16.394532761499775</v>
      </c>
      <c r="G17" s="32">
        <f t="shared" si="3"/>
        <v>13.696629308227855</v>
      </c>
      <c r="H17" s="5">
        <f t="shared" si="3"/>
        <v>18.646089749542426</v>
      </c>
    </row>
    <row r="18" spans="2:8" x14ac:dyDescent="0.25">
      <c r="B18" s="15"/>
      <c r="C18" s="11">
        <v>250</v>
      </c>
      <c r="D18" s="6"/>
      <c r="E18" s="6"/>
      <c r="F18" s="6">
        <f t="shared" ref="D18:H18" si="4">(F8/$C$10)*100-100</f>
        <v>18.17007114740359</v>
      </c>
      <c r="G18" s="6"/>
      <c r="H18" s="7"/>
    </row>
  </sheetData>
  <mergeCells count="8">
    <mergeCell ref="B12:C13"/>
    <mergeCell ref="J5:K5"/>
    <mergeCell ref="C10:D10"/>
    <mergeCell ref="B4:B8"/>
    <mergeCell ref="B14:B18"/>
    <mergeCell ref="D2:H2"/>
    <mergeCell ref="D12:H12"/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menon</dc:creator>
  <cp:lastModifiedBy>camilla menon</cp:lastModifiedBy>
  <dcterms:created xsi:type="dcterms:W3CDTF">2015-06-05T18:17:20Z</dcterms:created>
  <dcterms:modified xsi:type="dcterms:W3CDTF">2025-08-25T13:23:24Z</dcterms:modified>
</cp:coreProperties>
</file>