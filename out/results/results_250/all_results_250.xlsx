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esercizio\script\out\results\results_250\"/>
    </mc:Choice>
  </mc:AlternateContent>
  <xr:revisionPtr revIDLastSave="0" documentId="13_ncr:1_{38C988F7-9538-4754-B341-78D699AE290C}" xr6:coauthVersionLast="47" xr6:coauthVersionMax="47" xr10:uidLastSave="{00000000-0000-0000-0000-000000000000}"/>
  <bookViews>
    <workbookView xWindow="14303" yWindow="-213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1" l="1"/>
  <c r="U35" i="1"/>
  <c r="U3" i="1"/>
  <c r="U4" i="1"/>
  <c r="U5" i="1"/>
  <c r="V5" i="1" s="1"/>
  <c r="U6" i="1"/>
  <c r="U7" i="1"/>
  <c r="U8" i="1"/>
  <c r="V8" i="1" s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V27" i="1" s="1"/>
  <c r="U28" i="1"/>
  <c r="U29" i="1"/>
  <c r="U30" i="1"/>
  <c r="U31" i="1"/>
  <c r="U32" i="1"/>
  <c r="U33" i="1"/>
  <c r="U2" i="1"/>
  <c r="V2" i="1" s="1"/>
  <c r="V3" i="1"/>
  <c r="V4" i="1"/>
  <c r="V6" i="1"/>
  <c r="V7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8" i="1"/>
  <c r="V29" i="1"/>
  <c r="V30" i="1"/>
  <c r="V31" i="1"/>
  <c r="V32" i="1"/>
  <c r="V3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</calcChain>
</file>

<file path=xl/sharedStrings.xml><?xml version="1.0" encoding="utf-8"?>
<sst xmlns="http://schemas.openxmlformats.org/spreadsheetml/2006/main" count="53" uniqueCount="53">
  <si>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</si>
  <si>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</si>
  <si>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</si>
  <si>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</si>
  <si>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</si>
  <si>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</si>
  <si>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</si>
  <si>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</si>
  <si>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</si>
  <si>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</si>
  <si>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</si>
  <si>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</si>
  <si>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</si>
  <si>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</si>
  <si>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</si>
  <si>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</si>
  <si>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</si>
  <si>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</si>
  <si>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</si>
  <si>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</si>
  <si>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</si>
  <si>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</si>
  <si>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</si>
  <si>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</si>
  <si>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</si>
  <si>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</si>
  <si>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</si>
  <si>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</si>
  <si>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</si>
  <si>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</si>
  <si>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</si>
  <si>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</si>
  <si>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</si>
  <si>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</si>
  <si>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</si>
  <si>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</si>
  <si>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</si>
  <si>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</si>
  <si>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</si>
  <si>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</si>
  <si>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</si>
  <si>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</si>
  <si>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</si>
  <si>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</si>
  <si>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</si>
  <si>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</si>
  <si>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</si>
  <si>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</si>
  <si>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</si>
  <si>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% initial</t>
  </si>
  <si>
    <t>% VND</t>
  </si>
  <si>
    <t>best result k.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</si>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</sst>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2" fontId="0" fillId="3" borderId="0" xfId="0" applyNumberFormat="1" applyFill="1"/>
    <xf numFmtId="2" fontId="0" fillId="0" borderId="0" xfId="0" applyNumberFormat="1" applyFill="1"/>
    <xf numFmtId="2" fontId="0" fillId="3" borderId="2" xfId="0" applyNumberForma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zoomScale="88" workbookViewId="0">
      <selection activeCell="Y17" sqref="Y17"/>
    </sheetView>
  </sheetViews>
  <sheetFormatPr defaultRowHeight="14.25" x14ac:dyDescent="0.45"/>
  <cols>
    <col min="6" max="8" width="13.59765625" customWidth="1"/>
    <col min="9" max="17" width="0" hidden="1" customWidth="1"/>
    <col min="19" max="22" width="13.5976562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4" t="s">
        <v>51</v>
      </c>
      <c r="T1" s="4" t="s">
        <v>49</v>
      </c>
      <c r="U1" s="5" t="s">
        <v>50</v>
      </c>
      <c r="V1" s="4" t="s">
        <v>52</v>
      </c>
    </row>
    <row r="2" spans="1:22" x14ac:dyDescent="0.45">
      <c r="A2" s="2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6">
        <v>616.54867304076424</v>
      </c>
      <c r="H2">
        <v>5.03125</v>
      </c>
      <c r="I2">
        <v>4</v>
      </c>
      <c r="J2">
        <v>250</v>
      </c>
      <c r="K2">
        <v>7200</v>
      </c>
      <c r="L2">
        <v>720</v>
      </c>
      <c r="M2">
        <v>2</v>
      </c>
      <c r="N2">
        <v>1</v>
      </c>
      <c r="O2">
        <v>1</v>
      </c>
      <c r="P2">
        <v>2</v>
      </c>
      <c r="Q2">
        <v>1</v>
      </c>
      <c r="S2">
        <v>524.61</v>
      </c>
      <c r="T2" s="3">
        <f>(F2*100)/$S$2-100</f>
        <v>33.421412332806398</v>
      </c>
      <c r="U2" s="7">
        <f>(G2*100)/$S2-100</f>
        <v>17.525146878779324</v>
      </c>
      <c r="V2" s="3">
        <f>T2-U2</f>
        <v>15.896265454027073</v>
      </c>
    </row>
    <row r="3" spans="1:22" x14ac:dyDescent="0.45">
      <c r="A3" s="2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6">
        <v>1576.102516789007</v>
      </c>
      <c r="H3">
        <v>35.296875</v>
      </c>
      <c r="I3">
        <v>4</v>
      </c>
      <c r="J3">
        <v>250</v>
      </c>
      <c r="K3">
        <v>7200</v>
      </c>
      <c r="L3">
        <v>720</v>
      </c>
      <c r="M3">
        <v>25</v>
      </c>
      <c r="N3">
        <v>14</v>
      </c>
      <c r="O3">
        <v>9</v>
      </c>
      <c r="P3">
        <v>3</v>
      </c>
      <c r="Q3">
        <v>1</v>
      </c>
      <c r="S3">
        <v>1322.87</v>
      </c>
      <c r="T3" s="3">
        <f t="shared" ref="T3:T33" si="0">(F3*100)/S3-100</f>
        <v>36.523899785071563</v>
      </c>
      <c r="U3" s="7">
        <f t="shared" ref="U3:U33" si="1">(G3*100)/$S3-100</f>
        <v>19.142660789722896</v>
      </c>
      <c r="V3" s="3">
        <f t="shared" ref="V3:V33" si="2">T3-U3</f>
        <v>17.381238995348667</v>
      </c>
    </row>
    <row r="4" spans="1:22" x14ac:dyDescent="0.45">
      <c r="A4" s="2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6">
        <v>644.63858577630526</v>
      </c>
      <c r="H4">
        <v>1.296875</v>
      </c>
      <c r="I4">
        <v>1</v>
      </c>
      <c r="J4">
        <v>250</v>
      </c>
      <c r="K4">
        <v>7200</v>
      </c>
      <c r="L4">
        <v>720</v>
      </c>
      <c r="M4">
        <v>4</v>
      </c>
      <c r="N4">
        <v>2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7">
        <f t="shared" si="1"/>
        <v>22.879584029337082</v>
      </c>
      <c r="V4" s="3">
        <f t="shared" si="2"/>
        <v>12.024025504057221</v>
      </c>
    </row>
    <row r="5" spans="1:22" x14ac:dyDescent="0.45">
      <c r="A5" s="2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6">
        <v>1061.5680088637141</v>
      </c>
      <c r="H5">
        <v>23.8125</v>
      </c>
      <c r="I5">
        <v>4</v>
      </c>
      <c r="J5">
        <v>250</v>
      </c>
      <c r="K5">
        <v>7200</v>
      </c>
      <c r="L5">
        <v>720</v>
      </c>
      <c r="M5">
        <v>1</v>
      </c>
      <c r="N5">
        <v>1</v>
      </c>
      <c r="O5">
        <v>8</v>
      </c>
      <c r="P5">
        <v>5</v>
      </c>
      <c r="Q5">
        <v>1</v>
      </c>
      <c r="S5">
        <v>835.43</v>
      </c>
      <c r="T5" s="3">
        <f t="shared" si="0"/>
        <v>42.628886277970167</v>
      </c>
      <c r="U5" s="7">
        <f t="shared" si="1"/>
        <v>27.068456826270804</v>
      </c>
      <c r="V5" s="3">
        <f t="shared" si="2"/>
        <v>15.560429451699363</v>
      </c>
    </row>
    <row r="6" spans="1:22" x14ac:dyDescent="0.45">
      <c r="A6" s="2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6">
        <v>2510.1809666295758</v>
      </c>
      <c r="H6">
        <v>65.765625</v>
      </c>
      <c r="I6">
        <v>4</v>
      </c>
      <c r="J6">
        <v>250</v>
      </c>
      <c r="K6">
        <v>7200</v>
      </c>
      <c r="L6">
        <v>720</v>
      </c>
      <c r="M6">
        <v>17</v>
      </c>
      <c r="N6">
        <v>6</v>
      </c>
      <c r="O6">
        <v>8</v>
      </c>
      <c r="P6">
        <v>7</v>
      </c>
      <c r="Q6">
        <v>0</v>
      </c>
      <c r="S6">
        <v>2027.99</v>
      </c>
      <c r="T6" s="3">
        <f t="shared" si="0"/>
        <v>38.21896247299577</v>
      </c>
      <c r="U6" s="7">
        <f t="shared" si="1"/>
        <v>23.77679212567989</v>
      </c>
      <c r="V6" s="3">
        <f t="shared" si="2"/>
        <v>14.44217034731588</v>
      </c>
    </row>
    <row r="7" spans="1:22" x14ac:dyDescent="0.45">
      <c r="A7" s="2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6">
        <v>1069.122036491432</v>
      </c>
      <c r="H7">
        <v>3.65625</v>
      </c>
      <c r="I7">
        <v>1</v>
      </c>
      <c r="J7">
        <v>250</v>
      </c>
      <c r="K7">
        <v>7200</v>
      </c>
      <c r="L7">
        <v>720</v>
      </c>
      <c r="M7">
        <v>8</v>
      </c>
      <c r="N7">
        <v>4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7">
        <f t="shared" si="1"/>
        <v>27.828836100222631</v>
      </c>
      <c r="V7" s="3">
        <f t="shared" si="2"/>
        <v>15.975678087710108</v>
      </c>
    </row>
    <row r="8" spans="1:22" x14ac:dyDescent="0.45">
      <c r="A8" s="2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6">
        <v>1002.925835650611</v>
      </c>
      <c r="H8">
        <v>45.78125</v>
      </c>
      <c r="I8">
        <v>4</v>
      </c>
      <c r="J8">
        <v>250</v>
      </c>
      <c r="K8">
        <v>7200</v>
      </c>
      <c r="L8">
        <v>720</v>
      </c>
      <c r="M8">
        <v>19</v>
      </c>
      <c r="N8">
        <v>5</v>
      </c>
      <c r="O8">
        <v>46</v>
      </c>
      <c r="P8">
        <v>2</v>
      </c>
      <c r="Q8">
        <v>1</v>
      </c>
      <c r="S8">
        <v>826.14</v>
      </c>
      <c r="T8" s="3">
        <f t="shared" si="0"/>
        <v>47.155716679789776</v>
      </c>
      <c r="U8" s="7">
        <f t="shared" si="1"/>
        <v>21.399016589271909</v>
      </c>
      <c r="V8" s="3">
        <f t="shared" si="2"/>
        <v>25.756700090517867</v>
      </c>
    </row>
    <row r="9" spans="1:22" x14ac:dyDescent="0.45">
      <c r="A9" s="2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6">
        <v>2622.3236313856719</v>
      </c>
      <c r="H9">
        <v>39.75</v>
      </c>
      <c r="I9">
        <v>4</v>
      </c>
      <c r="J9">
        <v>250</v>
      </c>
      <c r="K9">
        <v>7200</v>
      </c>
      <c r="L9">
        <v>720</v>
      </c>
      <c r="M9">
        <v>24</v>
      </c>
      <c r="N9">
        <v>5</v>
      </c>
      <c r="O9">
        <v>9</v>
      </c>
      <c r="P9">
        <v>0</v>
      </c>
      <c r="Q9">
        <v>0</v>
      </c>
      <c r="S9">
        <v>2034.15</v>
      </c>
      <c r="T9" s="3">
        <f t="shared" si="0"/>
        <v>34.674642758010378</v>
      </c>
      <c r="U9" s="7">
        <f t="shared" si="1"/>
        <v>28.914958650329226</v>
      </c>
      <c r="V9" s="3">
        <f t="shared" si="2"/>
        <v>5.7596841076811529</v>
      </c>
    </row>
    <row r="10" spans="1:22" x14ac:dyDescent="0.45">
      <c r="A10" s="2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6">
        <v>998.96451436774805</v>
      </c>
      <c r="H10">
        <v>6.171875</v>
      </c>
      <c r="I10">
        <v>1</v>
      </c>
      <c r="J10">
        <v>250</v>
      </c>
      <c r="K10">
        <v>7200</v>
      </c>
      <c r="L10">
        <v>720</v>
      </c>
      <c r="M10">
        <v>71</v>
      </c>
      <c r="N10">
        <v>1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7">
        <f t="shared" si="1"/>
        <v>20.919519012243455</v>
      </c>
      <c r="V10" s="3">
        <f t="shared" si="2"/>
        <v>25.800234340776029</v>
      </c>
    </row>
    <row r="11" spans="1:22" x14ac:dyDescent="0.45">
      <c r="A11" s="2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6">
        <v>2045.8766974279649</v>
      </c>
      <c r="H11">
        <v>34.6875</v>
      </c>
      <c r="I11">
        <v>4</v>
      </c>
      <c r="J11">
        <v>250</v>
      </c>
      <c r="K11">
        <v>7200</v>
      </c>
      <c r="L11">
        <v>720</v>
      </c>
      <c r="M11">
        <v>63</v>
      </c>
      <c r="N11">
        <v>2</v>
      </c>
      <c r="O11">
        <v>8</v>
      </c>
      <c r="P11">
        <v>0</v>
      </c>
      <c r="Q11">
        <v>0</v>
      </c>
      <c r="S11">
        <v>1595.84</v>
      </c>
      <c r="T11" s="3">
        <f t="shared" si="0"/>
        <v>45.725262679032738</v>
      </c>
      <c r="U11" s="7">
        <f t="shared" si="1"/>
        <v>28.200615188738539</v>
      </c>
      <c r="V11" s="3">
        <f t="shared" si="2"/>
        <v>17.5246474902942</v>
      </c>
    </row>
    <row r="12" spans="1:22" x14ac:dyDescent="0.45">
      <c r="A12" s="2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6">
        <v>1010.848082048644</v>
      </c>
      <c r="H12">
        <v>160.3125</v>
      </c>
      <c r="I12">
        <v>4</v>
      </c>
      <c r="J12">
        <v>250</v>
      </c>
      <c r="K12">
        <v>7200</v>
      </c>
      <c r="L12">
        <v>720</v>
      </c>
      <c r="M12">
        <v>114</v>
      </c>
      <c r="N12">
        <v>10</v>
      </c>
      <c r="O12">
        <v>34</v>
      </c>
      <c r="P12">
        <v>1</v>
      </c>
      <c r="Q12">
        <v>0</v>
      </c>
      <c r="S12">
        <v>779.29</v>
      </c>
      <c r="T12" s="3">
        <f t="shared" si="0"/>
        <v>47.549014909544866</v>
      </c>
      <c r="U12" s="7">
        <f t="shared" si="1"/>
        <v>29.713980937602685</v>
      </c>
      <c r="V12" s="3">
        <f t="shared" si="2"/>
        <v>17.835033971942181</v>
      </c>
    </row>
    <row r="13" spans="1:22" x14ac:dyDescent="0.45">
      <c r="A13" s="2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6">
        <v>1563.545636578637</v>
      </c>
      <c r="H13">
        <v>287.8125</v>
      </c>
      <c r="I13">
        <v>4</v>
      </c>
      <c r="J13">
        <v>250</v>
      </c>
      <c r="K13">
        <v>7200</v>
      </c>
      <c r="L13">
        <v>720</v>
      </c>
      <c r="M13">
        <v>135</v>
      </c>
      <c r="N13">
        <v>19</v>
      </c>
      <c r="O13">
        <v>69</v>
      </c>
      <c r="P13">
        <v>1</v>
      </c>
      <c r="Q13">
        <v>0</v>
      </c>
      <c r="S13">
        <v>1195.8800000000001</v>
      </c>
      <c r="T13" s="3">
        <f t="shared" si="0"/>
        <v>46.057768218552695</v>
      </c>
      <c r="U13" s="7">
        <f t="shared" si="1"/>
        <v>30.744358679686655</v>
      </c>
      <c r="V13" s="3">
        <f t="shared" si="2"/>
        <v>15.31340953886604</v>
      </c>
    </row>
    <row r="14" spans="1:22" ht="14.65" thickBot="1" x14ac:dyDescent="0.5">
      <c r="A14" s="2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6">
        <v>5198.8293688168114</v>
      </c>
      <c r="H14">
        <v>7228.859375</v>
      </c>
      <c r="I14">
        <v>4</v>
      </c>
      <c r="J14">
        <v>250</v>
      </c>
      <c r="K14">
        <v>7200</v>
      </c>
      <c r="L14">
        <v>720</v>
      </c>
      <c r="M14">
        <v>94</v>
      </c>
      <c r="N14">
        <v>125</v>
      </c>
      <c r="O14">
        <v>65</v>
      </c>
      <c r="P14">
        <v>5</v>
      </c>
      <c r="Q14">
        <v>0</v>
      </c>
      <c r="S14">
        <v>3511.62</v>
      </c>
      <c r="T14" s="3">
        <f t="shared" si="0"/>
        <v>80.376301914549259</v>
      </c>
      <c r="U14" s="7">
        <f t="shared" si="1"/>
        <v>48.046467693452342</v>
      </c>
      <c r="V14" s="3">
        <f t="shared" si="2"/>
        <v>32.329834221096917</v>
      </c>
    </row>
    <row r="15" spans="1:22" ht="14.65" thickBot="1" x14ac:dyDescent="0.5">
      <c r="A15" s="2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6">
        <v>954.80711889752502</v>
      </c>
      <c r="H15">
        <v>1.140625</v>
      </c>
      <c r="I15">
        <v>4</v>
      </c>
      <c r="J15">
        <v>250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9">
        <f t="shared" si="1"/>
        <v>-3.0174615629618984E-4</v>
      </c>
      <c r="V15" s="10">
        <f t="shared" si="2"/>
        <v>0</v>
      </c>
    </row>
    <row r="16" spans="1:22" ht="14.65" thickBot="1" x14ac:dyDescent="0.5">
      <c r="A16" s="2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6">
        <v>1899.885733385785</v>
      </c>
      <c r="H16">
        <v>1.15625</v>
      </c>
      <c r="I16">
        <v>4</v>
      </c>
      <c r="J16">
        <v>250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9">
        <f t="shared" si="1"/>
        <v>2.0001682237365941</v>
      </c>
      <c r="V16" s="10">
        <f t="shared" si="2"/>
        <v>0</v>
      </c>
    </row>
    <row r="17" spans="1:22" ht="14.65" thickBot="1" x14ac:dyDescent="0.5">
      <c r="A17" s="2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6">
        <v>3179.0510337214159</v>
      </c>
      <c r="H17">
        <v>2.34375</v>
      </c>
      <c r="I17">
        <v>4</v>
      </c>
      <c r="J17">
        <v>250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7">
        <f t="shared" si="1"/>
        <v>10.566458233796695</v>
      </c>
      <c r="V17" s="3">
        <f t="shared" si="2"/>
        <v>0.76847467999847652</v>
      </c>
    </row>
    <row r="18" spans="1:22" ht="14.65" thickBot="1" x14ac:dyDescent="0.5">
      <c r="A18" s="2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6">
        <v>1703.872161915519</v>
      </c>
      <c r="H18">
        <v>1.46875</v>
      </c>
      <c r="I18">
        <v>4</v>
      </c>
      <c r="J18">
        <v>250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7">
        <f t="shared" si="1"/>
        <v>6.6419753976228577</v>
      </c>
      <c r="V18" s="10">
        <f t="shared" si="2"/>
        <v>0</v>
      </c>
    </row>
    <row r="19" spans="1:22" ht="14.65" thickBot="1" x14ac:dyDescent="0.5">
      <c r="A19" s="2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6">
        <v>3217.167440359513</v>
      </c>
      <c r="H19">
        <v>1.578125</v>
      </c>
      <c r="I19">
        <v>4</v>
      </c>
      <c r="J19">
        <v>250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9">
        <f t="shared" si="1"/>
        <v>2.2218655189789445</v>
      </c>
      <c r="V19" s="10">
        <f t="shared" si="2"/>
        <v>0</v>
      </c>
    </row>
    <row r="20" spans="1:22" ht="14.65" thickBot="1" x14ac:dyDescent="0.5">
      <c r="A20" s="2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6">
        <v>4855.7678865271791</v>
      </c>
      <c r="H20">
        <v>2.484375</v>
      </c>
      <c r="I20">
        <v>4</v>
      </c>
      <c r="J20">
        <v>250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9">
        <f t="shared" si="1"/>
        <v>0.44324326644751011</v>
      </c>
      <c r="V20" s="10">
        <f t="shared" si="2"/>
        <v>0</v>
      </c>
    </row>
    <row r="21" spans="1:22" ht="14.65" thickBot="1" x14ac:dyDescent="0.5">
      <c r="A21" s="2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6">
        <v>9441.6174868667931</v>
      </c>
      <c r="H21">
        <v>5.359375</v>
      </c>
      <c r="I21">
        <v>4</v>
      </c>
      <c r="J21">
        <v>250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7">
        <f t="shared" si="1"/>
        <v>12.838127576867279</v>
      </c>
      <c r="V21" s="10">
        <f t="shared" si="2"/>
        <v>0</v>
      </c>
    </row>
    <row r="22" spans="1:22" ht="14.65" thickBot="1" x14ac:dyDescent="0.5">
      <c r="A22" s="2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6">
        <v>2476.4553897065998</v>
      </c>
      <c r="H22">
        <v>2.046875</v>
      </c>
      <c r="I22">
        <v>4</v>
      </c>
      <c r="J22">
        <v>250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7">
        <f t="shared" si="1"/>
        <v>13.38873783019541</v>
      </c>
      <c r="V22" s="10">
        <f t="shared" si="2"/>
        <v>0</v>
      </c>
    </row>
    <row r="23" spans="1:22" ht="14.65" thickBot="1" x14ac:dyDescent="0.5">
      <c r="A23" s="2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6">
        <v>4608.9469410204683</v>
      </c>
      <c r="H23">
        <v>2.703125</v>
      </c>
      <c r="I23">
        <v>4</v>
      </c>
      <c r="J23">
        <v>250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7">
        <f t="shared" si="1"/>
        <v>7.9098159733762117</v>
      </c>
      <c r="V23" s="10">
        <f t="shared" si="2"/>
        <v>0</v>
      </c>
    </row>
    <row r="24" spans="1:22" ht="14.65" thickBot="1" x14ac:dyDescent="0.5">
      <c r="A24" s="2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6">
        <v>6836.8705930980686</v>
      </c>
      <c r="H24">
        <v>4.4375</v>
      </c>
      <c r="I24">
        <v>4</v>
      </c>
      <c r="J24">
        <v>250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9">
        <f t="shared" si="1"/>
        <v>3.5483135117896012</v>
      </c>
      <c r="V24" s="10">
        <f t="shared" si="2"/>
        <v>0</v>
      </c>
    </row>
    <row r="25" spans="1:22" x14ac:dyDescent="0.45">
      <c r="A25" s="2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6">
        <v>4433.5512234255484</v>
      </c>
      <c r="H25">
        <v>22.75</v>
      </c>
      <c r="I25">
        <v>4</v>
      </c>
      <c r="J25">
        <v>250</v>
      </c>
      <c r="K25">
        <v>7200</v>
      </c>
      <c r="L25">
        <v>720</v>
      </c>
      <c r="M25">
        <v>44</v>
      </c>
      <c r="N25">
        <v>4</v>
      </c>
      <c r="O25">
        <v>8</v>
      </c>
      <c r="P25">
        <v>1</v>
      </c>
      <c r="Q25">
        <v>0</v>
      </c>
      <c r="S25">
        <v>3687.46</v>
      </c>
      <c r="T25" s="3">
        <f t="shared" si="0"/>
        <v>38.542844102855923</v>
      </c>
      <c r="U25" s="7">
        <f t="shared" si="1"/>
        <v>20.233201808983651</v>
      </c>
      <c r="V25" s="3">
        <f t="shared" si="2"/>
        <v>18.309642293872272</v>
      </c>
    </row>
    <row r="26" spans="1:22" x14ac:dyDescent="0.45">
      <c r="A26" s="2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6">
        <v>4433.5512234255484</v>
      </c>
      <c r="H26">
        <v>22.859375</v>
      </c>
      <c r="I26">
        <v>4</v>
      </c>
      <c r="J26">
        <v>250</v>
      </c>
      <c r="K26">
        <v>7200</v>
      </c>
      <c r="L26">
        <v>720</v>
      </c>
      <c r="M26">
        <v>44</v>
      </c>
      <c r="N26">
        <v>4</v>
      </c>
      <c r="O26">
        <v>8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7">
        <f t="shared" si="1"/>
        <v>17.378214352767259</v>
      </c>
      <c r="V26" s="3">
        <f t="shared" si="2"/>
        <v>17.874872211313345</v>
      </c>
    </row>
    <row r="27" spans="1:22" x14ac:dyDescent="0.45">
      <c r="A27" s="2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6">
        <v>4472.4631330041657</v>
      </c>
      <c r="H27">
        <v>19.4375</v>
      </c>
      <c r="I27">
        <v>4</v>
      </c>
      <c r="J27">
        <v>250</v>
      </c>
      <c r="K27">
        <v>7200</v>
      </c>
      <c r="L27">
        <v>720</v>
      </c>
      <c r="M27">
        <v>32</v>
      </c>
      <c r="N27">
        <v>6</v>
      </c>
      <c r="O27">
        <v>3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7">
        <f t="shared" si="1"/>
        <v>17.841218892801564</v>
      </c>
      <c r="V27" s="3">
        <f t="shared" si="2"/>
        <v>16.415885041746449</v>
      </c>
    </row>
    <row r="28" spans="1:22" x14ac:dyDescent="0.45">
      <c r="A28" s="2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6">
        <v>29171.897845536791</v>
      </c>
      <c r="H28">
        <v>164.34375</v>
      </c>
      <c r="I28">
        <v>4</v>
      </c>
      <c r="J28">
        <v>250</v>
      </c>
      <c r="K28">
        <v>7200</v>
      </c>
      <c r="L28">
        <v>720</v>
      </c>
      <c r="M28">
        <v>84</v>
      </c>
      <c r="N28">
        <v>14</v>
      </c>
      <c r="O28">
        <v>17</v>
      </c>
      <c r="P28">
        <v>1</v>
      </c>
      <c r="Q28">
        <v>0</v>
      </c>
      <c r="S28">
        <v>21956.46</v>
      </c>
      <c r="T28" s="3">
        <f t="shared" si="0"/>
        <v>53.916490535773249</v>
      </c>
      <c r="U28" s="7">
        <f t="shared" si="1"/>
        <v>32.86248259298992</v>
      </c>
      <c r="V28" s="3">
        <f t="shared" si="2"/>
        <v>21.054007942783329</v>
      </c>
    </row>
    <row r="29" spans="1:22" x14ac:dyDescent="0.45">
      <c r="A29" s="2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6">
        <v>29835.703748496278</v>
      </c>
      <c r="H29">
        <v>177.96875</v>
      </c>
      <c r="I29">
        <v>4</v>
      </c>
      <c r="J29">
        <v>250</v>
      </c>
      <c r="K29">
        <v>7200</v>
      </c>
      <c r="L29">
        <v>720</v>
      </c>
      <c r="M29">
        <v>83</v>
      </c>
      <c r="N29">
        <v>15</v>
      </c>
      <c r="O29">
        <v>17</v>
      </c>
      <c r="P29">
        <v>2</v>
      </c>
      <c r="Q29">
        <v>0</v>
      </c>
      <c r="S29">
        <v>22934.71</v>
      </c>
      <c r="T29" s="3">
        <f t="shared" si="0"/>
        <v>47.351384333574913</v>
      </c>
      <c r="U29" s="7">
        <f t="shared" si="1"/>
        <v>30.089736249101378</v>
      </c>
      <c r="V29" s="3">
        <f t="shared" si="2"/>
        <v>17.261648084473535</v>
      </c>
    </row>
    <row r="30" spans="1:22" x14ac:dyDescent="0.45">
      <c r="A30" s="2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6">
        <v>30686.209708643979</v>
      </c>
      <c r="H30">
        <v>181.125</v>
      </c>
      <c r="I30">
        <v>4</v>
      </c>
      <c r="J30">
        <v>250</v>
      </c>
      <c r="K30">
        <v>7200</v>
      </c>
      <c r="L30">
        <v>720</v>
      </c>
      <c r="M30">
        <v>62</v>
      </c>
      <c r="N30">
        <v>32</v>
      </c>
      <c r="O30">
        <v>15</v>
      </c>
      <c r="P30">
        <v>2</v>
      </c>
      <c r="Q30">
        <v>0</v>
      </c>
      <c r="S30">
        <v>22909.360000000001</v>
      </c>
      <c r="T30" s="3">
        <f t="shared" si="0"/>
        <v>49.031898243534954</v>
      </c>
      <c r="U30" s="7">
        <f t="shared" si="1"/>
        <v>33.946167455764709</v>
      </c>
      <c r="V30" s="3">
        <f t="shared" si="2"/>
        <v>15.085730787770245</v>
      </c>
    </row>
    <row r="31" spans="1:22" x14ac:dyDescent="0.45">
      <c r="A31" s="2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6">
        <v>104605.1556166919</v>
      </c>
      <c r="H31">
        <v>1049.765625</v>
      </c>
      <c r="I31">
        <v>4</v>
      </c>
      <c r="J31">
        <v>250</v>
      </c>
      <c r="K31">
        <v>7200</v>
      </c>
      <c r="L31">
        <v>720</v>
      </c>
      <c r="M31">
        <v>94</v>
      </c>
      <c r="N31">
        <v>15</v>
      </c>
      <c r="O31">
        <v>35</v>
      </c>
      <c r="P31">
        <v>5</v>
      </c>
      <c r="Q31">
        <v>0</v>
      </c>
      <c r="S31">
        <v>75016.58</v>
      </c>
      <c r="T31" s="3">
        <f t="shared" si="0"/>
        <v>67.438417271665799</v>
      </c>
      <c r="U31" s="7">
        <f t="shared" si="1"/>
        <v>39.44271468612925</v>
      </c>
      <c r="V31" s="3">
        <f t="shared" si="2"/>
        <v>27.995702585536549</v>
      </c>
    </row>
    <row r="32" spans="1:22" x14ac:dyDescent="0.45">
      <c r="A32" s="2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6">
        <v>102434.0655737356</v>
      </c>
      <c r="H32">
        <v>1309.890625</v>
      </c>
      <c r="I32">
        <v>4</v>
      </c>
      <c r="J32">
        <v>250</v>
      </c>
      <c r="K32">
        <v>7200</v>
      </c>
      <c r="L32">
        <v>720</v>
      </c>
      <c r="M32">
        <v>156</v>
      </c>
      <c r="N32">
        <v>46</v>
      </c>
      <c r="O32">
        <v>41</v>
      </c>
      <c r="P32">
        <v>3</v>
      </c>
      <c r="Q32">
        <v>2</v>
      </c>
      <c r="S32">
        <v>78179.89</v>
      </c>
      <c r="T32" s="3">
        <f t="shared" si="0"/>
        <v>63.258964455792125</v>
      </c>
      <c r="U32" s="7">
        <f t="shared" si="1"/>
        <v>31.02354783785907</v>
      </c>
      <c r="V32" s="3">
        <f t="shared" si="2"/>
        <v>32.235416617933055</v>
      </c>
    </row>
    <row r="33" spans="1:22" x14ac:dyDescent="0.45">
      <c r="A33" s="2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6">
        <v>106085.6821163617</v>
      </c>
      <c r="H33">
        <v>702.390625</v>
      </c>
      <c r="I33">
        <v>4</v>
      </c>
      <c r="J33">
        <v>250</v>
      </c>
      <c r="K33">
        <v>7200</v>
      </c>
      <c r="L33">
        <v>720</v>
      </c>
      <c r="M33">
        <v>84</v>
      </c>
      <c r="N33">
        <v>25</v>
      </c>
      <c r="O33">
        <v>15</v>
      </c>
      <c r="P33">
        <v>3</v>
      </c>
      <c r="Q33">
        <v>0</v>
      </c>
      <c r="S33">
        <v>80479.199999999997</v>
      </c>
      <c r="T33" s="3">
        <f t="shared" si="0"/>
        <v>57.00196666049041</v>
      </c>
      <c r="U33" s="7">
        <f t="shared" si="1"/>
        <v>31.817515726251884</v>
      </c>
      <c r="V33" s="3">
        <f t="shared" si="2"/>
        <v>25.184450934238527</v>
      </c>
    </row>
    <row r="35" spans="1:22" x14ac:dyDescent="0.45">
      <c r="T35" s="8">
        <f>SUM(T2:T33)/32</f>
        <v>33.879336864738725</v>
      </c>
      <c r="U35" s="7">
        <f>SUM(U2:U33)/32</f>
        <v>20.636049902832532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2025-06-30T09:15:23Z</dcterms:created>
  <dcterms:modified xsi:type="dcterms:W3CDTF">2025-06-30T09:31:03Z</dcterms:modified>
</cp:coreProperties>
</file>