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enon\Documents\unitn\ing_gestionale\progetto_TESI\esercizio\script\out\results\results_750\"/>
    </mc:Choice>
  </mc:AlternateContent>
  <xr:revisionPtr revIDLastSave="0" documentId="13_ncr:1_{DBAEC10B-35E2-4C97-AD6E-1010FECC8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" l="1"/>
  <c r="T33" i="1"/>
  <c r="V33" i="1" s="1"/>
  <c r="U32" i="1"/>
  <c r="T32" i="1"/>
  <c r="V32" i="1" s="1"/>
  <c r="U31" i="1"/>
  <c r="T31" i="1"/>
  <c r="V31" i="1" s="1"/>
  <c r="U30" i="1"/>
  <c r="T30" i="1"/>
  <c r="V30" i="1" s="1"/>
  <c r="U29" i="1"/>
  <c r="V29" i="1" s="1"/>
  <c r="T29" i="1"/>
  <c r="U28" i="1"/>
  <c r="T28" i="1"/>
  <c r="V28" i="1" s="1"/>
  <c r="U27" i="1"/>
  <c r="T27" i="1"/>
  <c r="V27" i="1" s="1"/>
  <c r="U26" i="1"/>
  <c r="T26" i="1"/>
  <c r="V26" i="1" s="1"/>
  <c r="U25" i="1"/>
  <c r="T25" i="1"/>
  <c r="V25" i="1" s="1"/>
  <c r="U24" i="1"/>
  <c r="T24" i="1"/>
  <c r="V24" i="1" s="1"/>
  <c r="U23" i="1"/>
  <c r="T23" i="1"/>
  <c r="V23" i="1" s="1"/>
  <c r="U22" i="1"/>
  <c r="T22" i="1"/>
  <c r="V22" i="1" s="1"/>
  <c r="U21" i="1"/>
  <c r="T21" i="1"/>
  <c r="V21" i="1" s="1"/>
  <c r="U20" i="1"/>
  <c r="T20" i="1"/>
  <c r="V20" i="1" s="1"/>
  <c r="U19" i="1"/>
  <c r="T19" i="1"/>
  <c r="V19" i="1" s="1"/>
  <c r="V18" i="1"/>
  <c r="U18" i="1"/>
  <c r="T18" i="1"/>
  <c r="U17" i="1"/>
  <c r="T17" i="1"/>
  <c r="V17" i="1" s="1"/>
  <c r="U16" i="1"/>
  <c r="T16" i="1"/>
  <c r="V16" i="1" s="1"/>
  <c r="U15" i="1"/>
  <c r="T15" i="1"/>
  <c r="V15" i="1" s="1"/>
  <c r="U14" i="1"/>
  <c r="T14" i="1"/>
  <c r="V14" i="1" s="1"/>
  <c r="U13" i="1"/>
  <c r="V13" i="1" s="1"/>
  <c r="T13" i="1"/>
  <c r="U12" i="1"/>
  <c r="T12" i="1"/>
  <c r="V12" i="1" s="1"/>
  <c r="U11" i="1"/>
  <c r="T11" i="1"/>
  <c r="V11" i="1" s="1"/>
  <c r="U10" i="1"/>
  <c r="T10" i="1"/>
  <c r="V10" i="1" s="1"/>
  <c r="U9" i="1"/>
  <c r="T9" i="1"/>
  <c r="V9" i="1" s="1"/>
  <c r="U8" i="1"/>
  <c r="T8" i="1"/>
  <c r="V8" i="1" s="1"/>
  <c r="U7" i="1"/>
  <c r="T7" i="1"/>
  <c r="V7" i="1" s="1"/>
  <c r="U6" i="1"/>
  <c r="T6" i="1"/>
  <c r="V6" i="1" s="1"/>
  <c r="U5" i="1"/>
  <c r="T5" i="1"/>
  <c r="V5" i="1" s="1"/>
  <c r="U4" i="1"/>
  <c r="T4" i="1"/>
  <c r="V4" i="1" s="1"/>
  <c r="U3" i="1"/>
  <c r="T3" i="1"/>
  <c r="V3" i="1" s="1"/>
  <c r="V2" i="1"/>
  <c r="U2" i="1"/>
  <c r="U35" i="1" s="1"/>
  <c r="T2" i="1"/>
  <c r="T35" i="1" s="1"/>
</calcChain>
</file>

<file path=xl/sharedStrings.xml><?xml version="1.0" encoding="utf-8"?>
<sst xmlns="http://schemas.openxmlformats.org/spreadsheetml/2006/main" count="53" uniqueCount="53">
  <si>
    <t>instance</t>
  </si>
  <si>
    <t>vehicles</t>
  </si>
  <si>
    <t>clients</t>
  </si>
  <si>
    <t>days</t>
  </si>
  <si>
    <t>capacity</t>
  </si>
  <si>
    <t>initial_sol_val</t>
  </si>
  <si>
    <t>VND_sol_val</t>
  </si>
  <si>
    <t>time</t>
  </si>
  <si>
    <t>max_neigh</t>
  </si>
  <si>
    <t>max_iter</t>
  </si>
  <si>
    <t>VND_time_limit</t>
  </si>
  <si>
    <t>neigh_time_limit</t>
  </si>
  <si>
    <t>neigh_0</t>
  </si>
  <si>
    <t>neigh_1</t>
  </si>
  <si>
    <t>neigh_2</t>
  </si>
  <si>
    <t>neigh_3</t>
  </si>
  <si>
    <t>neigh_4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</si>
  <si>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</si>
  <si>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</si>
  <si>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</si>
  <si>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</si>
  <si>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</si>
  <si>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</si>
  <si>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</si>
  <si>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</si>
  <si>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</si>
  <si>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</si>
  <si>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</si>
  <si>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</si>
  <si>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</si>
  <si>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</si>
  <si>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</si>
  <si>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</si>
  <si>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</si>
  <si>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</si>
  <si>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</si>
  <si>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</si>
  <si>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</si>
  <si>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</si>
  <si>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</si>
  <si>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</si>
  <si>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</si>
  <si>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</si>
  <si>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</si>
  <si>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</si>
  <si>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</si>
  <si>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</si>
  <si>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</si>
  <si>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</si>
  <si>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best result k.</t>
  </si>
  <si>
    <t>% initial</t>
  </si>
  <si>
    <t>% VND</t>
  </si>
  <si>
    <t>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</si>
</sst>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0" fillId="0" borderId="0" xfId="0" applyNumberFormat="1"/>
    <xf numFmtId="2" fontId="0" fillId="3" borderId="0" xfId="0" applyNumberFormat="1" applyFill="1"/>
    <xf numFmtId="2" fontId="0" fillId="3" borderId="2" xfId="0" applyNumberFormat="1" applyFill="1" applyBorder="1"/>
    <xf numFmtId="2" fontId="0" fillId="0" borderId="2" xfId="0" applyNumberFormat="1" applyBorder="1"/>
    <xf numFmtId="0" fontId="0" fillId="3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Z12" sqref="Z12"/>
    </sheetView>
  </sheetViews>
  <sheetFormatPr defaultRowHeight="14.25" x14ac:dyDescent="0.45"/>
  <cols>
    <col min="6" max="8" width="13.59765625" customWidth="1"/>
    <col min="9" max="17" width="0" hidden="1" customWidth="1"/>
    <col min="19" max="22" width="13.59765625" customWidth="1"/>
  </cols>
  <sheetData>
    <row r="1" spans="1:2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49</v>
      </c>
      <c r="T1" s="1" t="s">
        <v>50</v>
      </c>
      <c r="U1" s="2" t="s">
        <v>51</v>
      </c>
      <c r="V1" s="1" t="s">
        <v>52</v>
      </c>
    </row>
    <row r="2" spans="1:22" x14ac:dyDescent="0.45">
      <c r="A2" s="8" t="s">
        <v>17</v>
      </c>
      <c r="B2">
        <v>3</v>
      </c>
      <c r="C2">
        <v>51</v>
      </c>
      <c r="D2">
        <v>2</v>
      </c>
      <c r="E2">
        <v>160</v>
      </c>
      <c r="F2">
        <v>699.94207123913566</v>
      </c>
      <c r="G2" s="7">
        <v>599.9329154940724</v>
      </c>
      <c r="H2">
        <v>15.0625</v>
      </c>
      <c r="I2">
        <v>4</v>
      </c>
      <c r="J2">
        <v>750</v>
      </c>
      <c r="K2">
        <v>7200</v>
      </c>
      <c r="L2">
        <v>720</v>
      </c>
      <c r="M2">
        <v>2</v>
      </c>
      <c r="N2">
        <v>3</v>
      </c>
      <c r="O2">
        <v>3</v>
      </c>
      <c r="P2">
        <v>2</v>
      </c>
      <c r="Q2">
        <v>0</v>
      </c>
      <c r="S2">
        <v>524.61</v>
      </c>
      <c r="T2" s="3">
        <f>(F2*100)/$S$2-100</f>
        <v>33.421412332806398</v>
      </c>
      <c r="U2" s="4">
        <f>(G2*100)/$S2-100</f>
        <v>14.357887858422899</v>
      </c>
      <c r="V2" s="3">
        <f>T2-U2</f>
        <v>19.063524474383499</v>
      </c>
    </row>
    <row r="3" spans="1:22" x14ac:dyDescent="0.45">
      <c r="A3" s="8" t="s">
        <v>18</v>
      </c>
      <c r="B3">
        <v>3</v>
      </c>
      <c r="C3">
        <v>50</v>
      </c>
      <c r="D3">
        <v>5</v>
      </c>
      <c r="E3">
        <v>160</v>
      </c>
      <c r="F3">
        <v>1806.0337130867761</v>
      </c>
      <c r="G3" s="7">
        <v>1628.8983584984351</v>
      </c>
      <c r="H3">
        <v>47.640625</v>
      </c>
      <c r="I3">
        <v>4</v>
      </c>
      <c r="J3">
        <v>750</v>
      </c>
      <c r="K3">
        <v>7200</v>
      </c>
      <c r="L3">
        <v>720</v>
      </c>
      <c r="M3">
        <v>30</v>
      </c>
      <c r="N3">
        <v>2</v>
      </c>
      <c r="O3">
        <v>7</v>
      </c>
      <c r="P3">
        <v>1</v>
      </c>
      <c r="Q3">
        <v>0</v>
      </c>
      <c r="S3">
        <v>1322.87</v>
      </c>
      <c r="T3" s="3">
        <f t="shared" ref="T3:T33" si="0">(F3*100)/S3-100</f>
        <v>36.523899785071563</v>
      </c>
      <c r="U3" s="4">
        <f t="shared" ref="U3:U33" si="1">(G3*100)/$S3-100</f>
        <v>23.133668349757372</v>
      </c>
      <c r="V3" s="3">
        <f t="shared" ref="V3:V33" si="2">T3-U3</f>
        <v>13.390231435314192</v>
      </c>
    </row>
    <row r="4" spans="1:22" x14ac:dyDescent="0.45">
      <c r="A4" s="8" t="s">
        <v>19</v>
      </c>
      <c r="B4">
        <v>1</v>
      </c>
      <c r="C4">
        <v>50</v>
      </c>
      <c r="D4">
        <v>5</v>
      </c>
      <c r="E4">
        <v>160</v>
      </c>
      <c r="F4">
        <v>707.71782597313984</v>
      </c>
      <c r="G4" s="7">
        <v>630.48644546083551</v>
      </c>
      <c r="H4">
        <v>6.34375</v>
      </c>
      <c r="I4">
        <v>1</v>
      </c>
      <c r="J4">
        <v>750</v>
      </c>
      <c r="K4">
        <v>7200</v>
      </c>
      <c r="L4">
        <v>720</v>
      </c>
      <c r="M4">
        <v>5</v>
      </c>
      <c r="N4">
        <v>8</v>
      </c>
      <c r="O4">
        <v>0</v>
      </c>
      <c r="P4">
        <v>0</v>
      </c>
      <c r="Q4">
        <v>0</v>
      </c>
      <c r="S4">
        <v>524.61</v>
      </c>
      <c r="T4" s="3">
        <f t="shared" si="0"/>
        <v>34.903609533394302</v>
      </c>
      <c r="U4" s="4">
        <f t="shared" si="1"/>
        <v>20.181934286581551</v>
      </c>
      <c r="V4" s="3">
        <f t="shared" si="2"/>
        <v>14.721675246812751</v>
      </c>
    </row>
    <row r="5" spans="1:22" x14ac:dyDescent="0.45">
      <c r="A5" s="8" t="s">
        <v>20</v>
      </c>
      <c r="B5">
        <v>5</v>
      </c>
      <c r="C5">
        <v>75</v>
      </c>
      <c r="D5">
        <v>2</v>
      </c>
      <c r="E5">
        <v>140</v>
      </c>
      <c r="F5">
        <v>1191.564504632046</v>
      </c>
      <c r="G5" s="7">
        <v>988.04915608435317</v>
      </c>
      <c r="H5">
        <v>153.28125</v>
      </c>
      <c r="I5">
        <v>4</v>
      </c>
      <c r="J5">
        <v>750</v>
      </c>
      <c r="K5">
        <v>7200</v>
      </c>
      <c r="L5">
        <v>720</v>
      </c>
      <c r="M5">
        <v>4</v>
      </c>
      <c r="N5">
        <v>7</v>
      </c>
      <c r="O5">
        <v>15</v>
      </c>
      <c r="P5">
        <v>9</v>
      </c>
      <c r="Q5">
        <v>2</v>
      </c>
      <c r="S5">
        <v>835.43</v>
      </c>
      <c r="T5" s="3">
        <f t="shared" si="0"/>
        <v>42.628886277970167</v>
      </c>
      <c r="U5" s="4">
        <f t="shared" si="1"/>
        <v>18.268335597758423</v>
      </c>
      <c r="V5" s="3">
        <f t="shared" si="2"/>
        <v>24.360550680211745</v>
      </c>
    </row>
    <row r="6" spans="1:22" x14ac:dyDescent="0.45">
      <c r="A6" s="8" t="s">
        <v>21</v>
      </c>
      <c r="B6">
        <v>6</v>
      </c>
      <c r="C6">
        <v>75</v>
      </c>
      <c r="D6">
        <v>5</v>
      </c>
      <c r="E6">
        <v>140</v>
      </c>
      <c r="F6">
        <v>2803.0667370561068</v>
      </c>
      <c r="G6" s="7">
        <v>2388.285146680641</v>
      </c>
      <c r="H6">
        <v>210.984375</v>
      </c>
      <c r="I6">
        <v>4</v>
      </c>
      <c r="J6">
        <v>750</v>
      </c>
      <c r="K6">
        <v>7200</v>
      </c>
      <c r="L6">
        <v>720</v>
      </c>
      <c r="M6">
        <v>30</v>
      </c>
      <c r="N6">
        <v>4</v>
      </c>
      <c r="O6">
        <v>15</v>
      </c>
      <c r="P6">
        <v>3</v>
      </c>
      <c r="Q6">
        <v>0</v>
      </c>
      <c r="S6">
        <v>2027.99</v>
      </c>
      <c r="T6" s="3">
        <f t="shared" si="0"/>
        <v>38.21896247299577</v>
      </c>
      <c r="U6" s="4">
        <f t="shared" si="1"/>
        <v>17.766120477943232</v>
      </c>
      <c r="V6" s="3">
        <f t="shared" si="2"/>
        <v>20.452841995052538</v>
      </c>
    </row>
    <row r="7" spans="1:22" x14ac:dyDescent="0.45">
      <c r="A7" s="8" t="s">
        <v>22</v>
      </c>
      <c r="B7">
        <v>1</v>
      </c>
      <c r="C7">
        <v>75</v>
      </c>
      <c r="D7">
        <v>10</v>
      </c>
      <c r="E7">
        <v>140</v>
      </c>
      <c r="F7">
        <v>1202.7378153136131</v>
      </c>
      <c r="G7" s="7">
        <v>983.8040520181894</v>
      </c>
      <c r="H7">
        <v>27.34375</v>
      </c>
      <c r="I7">
        <v>1</v>
      </c>
      <c r="J7">
        <v>750</v>
      </c>
      <c r="K7">
        <v>7200</v>
      </c>
      <c r="L7">
        <v>720</v>
      </c>
      <c r="M7">
        <v>21</v>
      </c>
      <c r="N7">
        <v>15</v>
      </c>
      <c r="O7">
        <v>0</v>
      </c>
      <c r="P7">
        <v>0</v>
      </c>
      <c r="Q7">
        <v>0</v>
      </c>
      <c r="S7">
        <v>836.37</v>
      </c>
      <c r="T7" s="3">
        <f t="shared" si="0"/>
        <v>43.804514187932739</v>
      </c>
      <c r="U7" s="4">
        <f t="shared" si="1"/>
        <v>17.627850355487325</v>
      </c>
      <c r="V7" s="3">
        <f t="shared" si="2"/>
        <v>26.176663832445414</v>
      </c>
    </row>
    <row r="8" spans="1:22" x14ac:dyDescent="0.45">
      <c r="A8" s="8" t="s">
        <v>23</v>
      </c>
      <c r="B8">
        <v>4</v>
      </c>
      <c r="C8">
        <v>100</v>
      </c>
      <c r="D8">
        <v>2</v>
      </c>
      <c r="E8">
        <v>200</v>
      </c>
      <c r="F8">
        <v>1215.7122377784151</v>
      </c>
      <c r="G8" s="7">
        <v>987.33944186748886</v>
      </c>
      <c r="H8">
        <v>185.859375</v>
      </c>
      <c r="I8">
        <v>4</v>
      </c>
      <c r="J8">
        <v>750</v>
      </c>
      <c r="K8">
        <v>7200</v>
      </c>
      <c r="L8">
        <v>720</v>
      </c>
      <c r="M8">
        <v>22</v>
      </c>
      <c r="N8">
        <v>5</v>
      </c>
      <c r="O8">
        <v>51</v>
      </c>
      <c r="P8">
        <v>4</v>
      </c>
      <c r="Q8">
        <v>3</v>
      </c>
      <c r="S8">
        <v>826.14</v>
      </c>
      <c r="T8" s="3">
        <f t="shared" si="0"/>
        <v>47.155716679789776</v>
      </c>
      <c r="U8" s="4">
        <f t="shared" si="1"/>
        <v>19.512363747971136</v>
      </c>
      <c r="V8" s="3">
        <f t="shared" si="2"/>
        <v>27.64335293181864</v>
      </c>
    </row>
    <row r="9" spans="1:22" x14ac:dyDescent="0.45">
      <c r="A9" s="8" t="s">
        <v>24</v>
      </c>
      <c r="B9">
        <v>5</v>
      </c>
      <c r="C9">
        <v>100</v>
      </c>
      <c r="D9">
        <v>5</v>
      </c>
      <c r="E9">
        <v>200</v>
      </c>
      <c r="F9">
        <v>2739.4842456620681</v>
      </c>
      <c r="G9" s="7">
        <v>2631.9333965698311</v>
      </c>
      <c r="H9">
        <v>85.65625</v>
      </c>
      <c r="I9">
        <v>4</v>
      </c>
      <c r="J9">
        <v>750</v>
      </c>
      <c r="K9">
        <v>7200</v>
      </c>
      <c r="L9">
        <v>720</v>
      </c>
      <c r="M9">
        <v>24</v>
      </c>
      <c r="N9">
        <v>5</v>
      </c>
      <c r="O9">
        <v>5</v>
      </c>
      <c r="P9">
        <v>0</v>
      </c>
      <c r="Q9">
        <v>0</v>
      </c>
      <c r="S9">
        <v>2034.15</v>
      </c>
      <c r="T9" s="3">
        <f t="shared" si="0"/>
        <v>34.674642758010378</v>
      </c>
      <c r="U9" s="4">
        <f t="shared" si="1"/>
        <v>29.38738030970336</v>
      </c>
      <c r="V9" s="3">
        <f t="shared" si="2"/>
        <v>5.2872624483070183</v>
      </c>
    </row>
    <row r="10" spans="1:22" x14ac:dyDescent="0.45">
      <c r="A10" s="8" t="s">
        <v>25</v>
      </c>
      <c r="B10">
        <v>1</v>
      </c>
      <c r="C10">
        <v>100</v>
      </c>
      <c r="D10">
        <v>8</v>
      </c>
      <c r="E10">
        <v>200</v>
      </c>
      <c r="F10">
        <v>1212.110570350635</v>
      </c>
      <c r="G10" s="7">
        <v>1008.107128636212</v>
      </c>
      <c r="H10">
        <v>9.125</v>
      </c>
      <c r="I10">
        <v>1</v>
      </c>
      <c r="J10">
        <v>750</v>
      </c>
      <c r="K10">
        <v>7200</v>
      </c>
      <c r="L10">
        <v>720</v>
      </c>
      <c r="M10">
        <v>64</v>
      </c>
      <c r="N10">
        <v>1</v>
      </c>
      <c r="O10">
        <v>0</v>
      </c>
      <c r="P10">
        <v>0</v>
      </c>
      <c r="Q10">
        <v>0</v>
      </c>
      <c r="S10">
        <v>826.14</v>
      </c>
      <c r="T10" s="3">
        <f t="shared" si="0"/>
        <v>46.719753353019485</v>
      </c>
      <c r="U10" s="4">
        <f t="shared" si="1"/>
        <v>22.026185469316587</v>
      </c>
      <c r="V10" s="3">
        <f t="shared" si="2"/>
        <v>24.693567883702897</v>
      </c>
    </row>
    <row r="11" spans="1:22" x14ac:dyDescent="0.45">
      <c r="A11" s="8" t="s">
        <v>26</v>
      </c>
      <c r="B11">
        <v>4</v>
      </c>
      <c r="C11">
        <v>100</v>
      </c>
      <c r="D11">
        <v>5</v>
      </c>
      <c r="E11">
        <v>200</v>
      </c>
      <c r="F11">
        <v>2325.542031937076</v>
      </c>
      <c r="G11" s="7">
        <v>1983.0842612880399</v>
      </c>
      <c r="H11">
        <v>250.59375</v>
      </c>
      <c r="I11">
        <v>4</v>
      </c>
      <c r="J11">
        <v>750</v>
      </c>
      <c r="K11">
        <v>7200</v>
      </c>
      <c r="L11">
        <v>720</v>
      </c>
      <c r="M11">
        <v>103</v>
      </c>
      <c r="N11">
        <v>5</v>
      </c>
      <c r="O11">
        <v>25</v>
      </c>
      <c r="P11">
        <v>0</v>
      </c>
      <c r="Q11">
        <v>0</v>
      </c>
      <c r="S11">
        <v>1595.84</v>
      </c>
      <c r="T11" s="3">
        <f t="shared" si="0"/>
        <v>45.725262679032738</v>
      </c>
      <c r="U11" s="4">
        <f t="shared" si="1"/>
        <v>24.265857560158906</v>
      </c>
      <c r="V11" s="3">
        <f t="shared" si="2"/>
        <v>21.459405118873832</v>
      </c>
    </row>
    <row r="12" spans="1:22" x14ac:dyDescent="0.45">
      <c r="A12" s="8" t="s">
        <v>27</v>
      </c>
      <c r="B12">
        <v>4</v>
      </c>
      <c r="C12">
        <v>138</v>
      </c>
      <c r="D12">
        <v>5</v>
      </c>
      <c r="E12">
        <v>235</v>
      </c>
      <c r="F12">
        <v>1149.8347182885921</v>
      </c>
      <c r="G12" s="7">
        <v>919.70068488981644</v>
      </c>
      <c r="H12">
        <v>938.4375</v>
      </c>
      <c r="I12">
        <v>4</v>
      </c>
      <c r="J12">
        <v>750</v>
      </c>
      <c r="K12">
        <v>7200</v>
      </c>
      <c r="L12">
        <v>720</v>
      </c>
      <c r="M12">
        <v>178</v>
      </c>
      <c r="N12">
        <v>20</v>
      </c>
      <c r="O12">
        <v>50</v>
      </c>
      <c r="P12">
        <v>1</v>
      </c>
      <c r="Q12">
        <v>0</v>
      </c>
      <c r="S12">
        <v>779.29</v>
      </c>
      <c r="T12" s="3">
        <f t="shared" si="0"/>
        <v>47.549014909544866</v>
      </c>
      <c r="U12" s="4">
        <f t="shared" si="1"/>
        <v>18.017770648900481</v>
      </c>
      <c r="V12" s="3">
        <f t="shared" si="2"/>
        <v>29.531244260644385</v>
      </c>
    </row>
    <row r="13" spans="1:22" x14ac:dyDescent="0.45">
      <c r="A13" s="8" t="s">
        <v>28</v>
      </c>
      <c r="B13">
        <v>3</v>
      </c>
      <c r="C13">
        <v>163</v>
      </c>
      <c r="D13">
        <v>5</v>
      </c>
      <c r="E13">
        <v>140</v>
      </c>
      <c r="F13">
        <v>1746.675638572028</v>
      </c>
      <c r="G13" s="7">
        <v>1523.5517961550979</v>
      </c>
      <c r="H13">
        <v>795.78125</v>
      </c>
      <c r="I13">
        <v>4</v>
      </c>
      <c r="J13">
        <v>750</v>
      </c>
      <c r="K13">
        <v>7200</v>
      </c>
      <c r="L13">
        <v>720</v>
      </c>
      <c r="M13">
        <v>188</v>
      </c>
      <c r="N13">
        <v>20</v>
      </c>
      <c r="O13">
        <v>72</v>
      </c>
      <c r="P13">
        <v>2</v>
      </c>
      <c r="Q13">
        <v>0</v>
      </c>
      <c r="S13">
        <v>1195.8800000000001</v>
      </c>
      <c r="T13" s="3">
        <f t="shared" si="0"/>
        <v>46.057768218552695</v>
      </c>
      <c r="U13" s="4">
        <f t="shared" si="1"/>
        <v>27.400056540380106</v>
      </c>
      <c r="V13" s="3">
        <f t="shared" si="2"/>
        <v>18.657711678172589</v>
      </c>
    </row>
    <row r="14" spans="1:22" ht="14.65" thickBot="1" x14ac:dyDescent="0.5">
      <c r="A14" s="8" t="s">
        <v>29</v>
      </c>
      <c r="B14">
        <v>9</v>
      </c>
      <c r="C14">
        <v>417</v>
      </c>
      <c r="D14">
        <v>7</v>
      </c>
      <c r="E14">
        <v>2000</v>
      </c>
      <c r="F14">
        <v>6334.1302932916942</v>
      </c>
      <c r="G14" s="7">
        <v>5428.5190400650699</v>
      </c>
      <c r="H14">
        <v>7231.375</v>
      </c>
      <c r="I14">
        <v>4</v>
      </c>
      <c r="J14">
        <v>750</v>
      </c>
      <c r="K14">
        <v>7200</v>
      </c>
      <c r="L14">
        <v>720</v>
      </c>
      <c r="M14">
        <v>119</v>
      </c>
      <c r="N14">
        <v>52</v>
      </c>
      <c r="O14">
        <v>3</v>
      </c>
      <c r="P14">
        <v>0</v>
      </c>
      <c r="Q14">
        <v>0</v>
      </c>
      <c r="S14">
        <v>3511.62</v>
      </c>
      <c r="T14" s="3">
        <f t="shared" si="0"/>
        <v>80.376301914549259</v>
      </c>
      <c r="U14" s="4">
        <f t="shared" si="1"/>
        <v>54.587314118984125</v>
      </c>
      <c r="V14" s="3">
        <f t="shared" si="2"/>
        <v>25.788987795565134</v>
      </c>
    </row>
    <row r="15" spans="1:22" ht="14.65" thickBot="1" x14ac:dyDescent="0.5">
      <c r="A15" s="8" t="s">
        <v>30</v>
      </c>
      <c r="B15">
        <v>2</v>
      </c>
      <c r="C15">
        <v>20</v>
      </c>
      <c r="D15">
        <v>4</v>
      </c>
      <c r="E15">
        <v>20</v>
      </c>
      <c r="F15">
        <v>954.80711889752502</v>
      </c>
      <c r="G15" s="7">
        <v>954.80711889752502</v>
      </c>
      <c r="H15">
        <v>4.765625</v>
      </c>
      <c r="I15">
        <v>4</v>
      </c>
      <c r="J15">
        <v>750</v>
      </c>
      <c r="K15">
        <v>7200</v>
      </c>
      <c r="L15">
        <v>720</v>
      </c>
      <c r="M15">
        <v>0</v>
      </c>
      <c r="N15">
        <v>0</v>
      </c>
      <c r="O15">
        <v>0</v>
      </c>
      <c r="P15">
        <v>0</v>
      </c>
      <c r="Q15">
        <v>0</v>
      </c>
      <c r="S15">
        <v>954.81</v>
      </c>
      <c r="T15" s="3">
        <f t="shared" si="0"/>
        <v>-3.0174615629618984E-4</v>
      </c>
      <c r="U15" s="5">
        <f t="shared" si="1"/>
        <v>-3.0174615629618984E-4</v>
      </c>
      <c r="V15" s="6">
        <f t="shared" si="2"/>
        <v>0</v>
      </c>
    </row>
    <row r="16" spans="1:22" ht="14.65" thickBot="1" x14ac:dyDescent="0.5">
      <c r="A16" s="8" t="s">
        <v>31</v>
      </c>
      <c r="B16">
        <v>2</v>
      </c>
      <c r="C16">
        <v>38</v>
      </c>
      <c r="D16">
        <v>4</v>
      </c>
      <c r="E16">
        <v>30</v>
      </c>
      <c r="F16">
        <v>1899.885733385785</v>
      </c>
      <c r="G16" s="7">
        <v>1899.885733385785</v>
      </c>
      <c r="H16">
        <v>4.234375</v>
      </c>
      <c r="I16">
        <v>4</v>
      </c>
      <c r="J16">
        <v>750</v>
      </c>
      <c r="K16">
        <v>7200</v>
      </c>
      <c r="L16">
        <v>720</v>
      </c>
      <c r="M16">
        <v>0</v>
      </c>
      <c r="N16">
        <v>0</v>
      </c>
      <c r="O16">
        <v>0</v>
      </c>
      <c r="P16">
        <v>0</v>
      </c>
      <c r="Q16">
        <v>0</v>
      </c>
      <c r="S16">
        <v>1862.63</v>
      </c>
      <c r="T16" s="3">
        <f t="shared" si="0"/>
        <v>2.0001682237365941</v>
      </c>
      <c r="U16" s="5">
        <f t="shared" si="1"/>
        <v>2.0001682237365941</v>
      </c>
      <c r="V16" s="6">
        <f t="shared" si="2"/>
        <v>0</v>
      </c>
    </row>
    <row r="17" spans="1:22" ht="14.65" thickBot="1" x14ac:dyDescent="0.5">
      <c r="A17" s="8" t="s">
        <v>32</v>
      </c>
      <c r="B17">
        <v>2</v>
      </c>
      <c r="C17">
        <v>56</v>
      </c>
      <c r="D17">
        <v>4</v>
      </c>
      <c r="E17">
        <v>40</v>
      </c>
      <c r="F17">
        <v>3201.1465251106042</v>
      </c>
      <c r="G17" s="7">
        <v>3179.0510337214159</v>
      </c>
      <c r="H17">
        <v>7.9375</v>
      </c>
      <c r="I17">
        <v>4</v>
      </c>
      <c r="J17">
        <v>750</v>
      </c>
      <c r="K17">
        <v>7200</v>
      </c>
      <c r="L17">
        <v>720</v>
      </c>
      <c r="M17">
        <v>2</v>
      </c>
      <c r="N17">
        <v>0</v>
      </c>
      <c r="O17">
        <v>0</v>
      </c>
      <c r="P17">
        <v>0</v>
      </c>
      <c r="Q17">
        <v>0</v>
      </c>
      <c r="S17">
        <v>2875.24</v>
      </c>
      <c r="T17" s="3">
        <f t="shared" si="0"/>
        <v>11.334932913795171</v>
      </c>
      <c r="U17" s="4">
        <f t="shared" si="1"/>
        <v>10.566458233796695</v>
      </c>
      <c r="V17" s="3">
        <f t="shared" si="2"/>
        <v>0.76847467999847652</v>
      </c>
    </row>
    <row r="18" spans="1:22" ht="14.65" thickBot="1" x14ac:dyDescent="0.5">
      <c r="A18" s="8" t="s">
        <v>33</v>
      </c>
      <c r="B18">
        <v>4</v>
      </c>
      <c r="C18">
        <v>40</v>
      </c>
      <c r="D18">
        <v>4</v>
      </c>
      <c r="E18">
        <v>20</v>
      </c>
      <c r="F18">
        <v>1703.872161915519</v>
      </c>
      <c r="G18" s="7">
        <v>1703.872161915519</v>
      </c>
      <c r="H18">
        <v>5.4375</v>
      </c>
      <c r="I18">
        <v>4</v>
      </c>
      <c r="J18">
        <v>750</v>
      </c>
      <c r="K18">
        <v>7200</v>
      </c>
      <c r="L18">
        <v>720</v>
      </c>
      <c r="M18">
        <v>0</v>
      </c>
      <c r="N18">
        <v>0</v>
      </c>
      <c r="O18">
        <v>0</v>
      </c>
      <c r="P18">
        <v>0</v>
      </c>
      <c r="Q18">
        <v>0</v>
      </c>
      <c r="S18">
        <v>1597.75</v>
      </c>
      <c r="T18" s="3">
        <f t="shared" si="0"/>
        <v>6.6419753976228577</v>
      </c>
      <c r="U18" s="4">
        <f t="shared" si="1"/>
        <v>6.6419753976228577</v>
      </c>
      <c r="V18" s="6">
        <f t="shared" si="2"/>
        <v>0</v>
      </c>
    </row>
    <row r="19" spans="1:22" ht="14.65" thickBot="1" x14ac:dyDescent="0.5">
      <c r="A19" s="8" t="s">
        <v>34</v>
      </c>
      <c r="B19">
        <v>4</v>
      </c>
      <c r="C19">
        <v>76</v>
      </c>
      <c r="D19">
        <v>4</v>
      </c>
      <c r="E19">
        <v>30</v>
      </c>
      <c r="F19">
        <v>3217.167440359513</v>
      </c>
      <c r="G19" s="7">
        <v>3217.167440359513</v>
      </c>
      <c r="H19">
        <v>4.9375</v>
      </c>
      <c r="I19">
        <v>4</v>
      </c>
      <c r="J19">
        <v>750</v>
      </c>
      <c r="K19">
        <v>7200</v>
      </c>
      <c r="L19">
        <v>720</v>
      </c>
      <c r="M19">
        <v>0</v>
      </c>
      <c r="N19">
        <v>0</v>
      </c>
      <c r="O19">
        <v>0</v>
      </c>
      <c r="P19">
        <v>0</v>
      </c>
      <c r="Q19">
        <v>0</v>
      </c>
      <c r="S19">
        <v>3147.24</v>
      </c>
      <c r="T19" s="3">
        <f t="shared" si="0"/>
        <v>2.2218655189789445</v>
      </c>
      <c r="U19" s="5">
        <f t="shared" si="1"/>
        <v>2.2218655189789445</v>
      </c>
      <c r="V19" s="6">
        <f t="shared" si="2"/>
        <v>0</v>
      </c>
    </row>
    <row r="20" spans="1:22" ht="14.65" thickBot="1" x14ac:dyDescent="0.5">
      <c r="A20" s="8" t="s">
        <v>35</v>
      </c>
      <c r="B20">
        <v>4</v>
      </c>
      <c r="C20">
        <v>112</v>
      </c>
      <c r="D20">
        <v>4</v>
      </c>
      <c r="E20">
        <v>40</v>
      </c>
      <c r="F20">
        <v>4855.7678865271791</v>
      </c>
      <c r="G20" s="7">
        <v>4855.7678865271791</v>
      </c>
      <c r="H20">
        <v>6.375</v>
      </c>
      <c r="I20">
        <v>4</v>
      </c>
      <c r="J20">
        <v>750</v>
      </c>
      <c r="K20">
        <v>7200</v>
      </c>
      <c r="L20">
        <v>720</v>
      </c>
      <c r="M20">
        <v>0</v>
      </c>
      <c r="N20">
        <v>0</v>
      </c>
      <c r="O20">
        <v>0</v>
      </c>
      <c r="P20">
        <v>0</v>
      </c>
      <c r="Q20">
        <v>0</v>
      </c>
      <c r="S20">
        <v>4834.34</v>
      </c>
      <c r="T20" s="3">
        <f t="shared" si="0"/>
        <v>0.44324326644751011</v>
      </c>
      <c r="U20" s="5">
        <f t="shared" si="1"/>
        <v>0.44324326644751011</v>
      </c>
      <c r="V20" s="6">
        <f t="shared" si="2"/>
        <v>0</v>
      </c>
    </row>
    <row r="21" spans="1:22" ht="14.65" thickBot="1" x14ac:dyDescent="0.5">
      <c r="A21" s="8" t="s">
        <v>36</v>
      </c>
      <c r="B21">
        <v>4</v>
      </c>
      <c r="C21">
        <v>184</v>
      </c>
      <c r="D21">
        <v>4</v>
      </c>
      <c r="E21">
        <v>60</v>
      </c>
      <c r="F21">
        <v>9441.6174868667931</v>
      </c>
      <c r="G21" s="7">
        <v>9441.6174868667931</v>
      </c>
      <c r="H21">
        <v>11.765625</v>
      </c>
      <c r="I21">
        <v>4</v>
      </c>
      <c r="J21">
        <v>750</v>
      </c>
      <c r="K21">
        <v>7200</v>
      </c>
      <c r="L21">
        <v>720</v>
      </c>
      <c r="M21">
        <v>0</v>
      </c>
      <c r="N21">
        <v>0</v>
      </c>
      <c r="O21">
        <v>0</v>
      </c>
      <c r="P21">
        <v>0</v>
      </c>
      <c r="Q21">
        <v>0</v>
      </c>
      <c r="S21">
        <v>8367.4</v>
      </c>
      <c r="T21" s="3">
        <f t="shared" si="0"/>
        <v>12.838127576867279</v>
      </c>
      <c r="U21" s="4">
        <f t="shared" si="1"/>
        <v>12.838127576867279</v>
      </c>
      <c r="V21" s="6">
        <f t="shared" si="2"/>
        <v>0</v>
      </c>
    </row>
    <row r="22" spans="1:22" ht="14.65" thickBot="1" x14ac:dyDescent="0.5">
      <c r="A22" s="8" t="s">
        <v>37</v>
      </c>
      <c r="B22">
        <v>6</v>
      </c>
      <c r="C22">
        <v>60</v>
      </c>
      <c r="D22">
        <v>4</v>
      </c>
      <c r="E22">
        <v>20</v>
      </c>
      <c r="F22">
        <v>2476.4553897065998</v>
      </c>
      <c r="G22" s="7">
        <v>2476.4553897065998</v>
      </c>
      <c r="H22">
        <v>7.625</v>
      </c>
      <c r="I22">
        <v>4</v>
      </c>
      <c r="J22">
        <v>750</v>
      </c>
      <c r="K22">
        <v>7200</v>
      </c>
      <c r="L22">
        <v>720</v>
      </c>
      <c r="M22">
        <v>0</v>
      </c>
      <c r="N22">
        <v>0</v>
      </c>
      <c r="O22">
        <v>0</v>
      </c>
      <c r="P22">
        <v>0</v>
      </c>
      <c r="Q22">
        <v>0</v>
      </c>
      <c r="S22">
        <v>2184.04</v>
      </c>
      <c r="T22" s="3">
        <f t="shared" si="0"/>
        <v>13.38873783019541</v>
      </c>
      <c r="U22" s="4">
        <f t="shared" si="1"/>
        <v>13.38873783019541</v>
      </c>
      <c r="V22" s="6">
        <f t="shared" si="2"/>
        <v>0</v>
      </c>
    </row>
    <row r="23" spans="1:22" ht="14.65" thickBot="1" x14ac:dyDescent="0.5">
      <c r="A23" s="8" t="s">
        <v>38</v>
      </c>
      <c r="B23">
        <v>6</v>
      </c>
      <c r="C23">
        <v>114</v>
      </c>
      <c r="D23">
        <v>4</v>
      </c>
      <c r="E23">
        <v>30</v>
      </c>
      <c r="F23">
        <v>4608.9469410204683</v>
      </c>
      <c r="G23" s="7">
        <v>4608.9469410204683</v>
      </c>
      <c r="H23">
        <v>8.125</v>
      </c>
      <c r="I23">
        <v>4</v>
      </c>
      <c r="J23">
        <v>750</v>
      </c>
      <c r="K23">
        <v>7200</v>
      </c>
      <c r="L23">
        <v>720</v>
      </c>
      <c r="M23">
        <v>0</v>
      </c>
      <c r="N23">
        <v>0</v>
      </c>
      <c r="O23">
        <v>0</v>
      </c>
      <c r="P23">
        <v>0</v>
      </c>
      <c r="Q23">
        <v>0</v>
      </c>
      <c r="S23">
        <v>4271.1099999999997</v>
      </c>
      <c r="T23" s="3">
        <f t="shared" si="0"/>
        <v>7.9098159733762117</v>
      </c>
      <c r="U23" s="4">
        <f t="shared" si="1"/>
        <v>7.9098159733762117</v>
      </c>
      <c r="V23" s="6">
        <f t="shared" si="2"/>
        <v>0</v>
      </c>
    </row>
    <row r="24" spans="1:22" ht="14.65" thickBot="1" x14ac:dyDescent="0.5">
      <c r="A24" s="8" t="s">
        <v>39</v>
      </c>
      <c r="B24">
        <v>6</v>
      </c>
      <c r="C24">
        <v>168</v>
      </c>
      <c r="D24">
        <v>4</v>
      </c>
      <c r="E24">
        <v>40</v>
      </c>
      <c r="F24">
        <v>6836.8705930980686</v>
      </c>
      <c r="G24" s="7">
        <v>6836.8705930980686</v>
      </c>
      <c r="H24">
        <v>9.203125</v>
      </c>
      <c r="I24">
        <v>4</v>
      </c>
      <c r="J24">
        <v>750</v>
      </c>
      <c r="K24">
        <v>7200</v>
      </c>
      <c r="L24">
        <v>720</v>
      </c>
      <c r="M24">
        <v>0</v>
      </c>
      <c r="N24">
        <v>0</v>
      </c>
      <c r="O24">
        <v>0</v>
      </c>
      <c r="P24">
        <v>0</v>
      </c>
      <c r="Q24">
        <v>0</v>
      </c>
      <c r="S24">
        <v>6602.59</v>
      </c>
      <c r="T24" s="3">
        <f t="shared" si="0"/>
        <v>3.5483135117896012</v>
      </c>
      <c r="U24" s="5">
        <f t="shared" si="1"/>
        <v>3.5483135117896012</v>
      </c>
      <c r="V24" s="6">
        <f t="shared" si="2"/>
        <v>0</v>
      </c>
    </row>
    <row r="25" spans="1:22" x14ac:dyDescent="0.45">
      <c r="A25" s="8" t="s">
        <v>40</v>
      </c>
      <c r="B25">
        <v>3</v>
      </c>
      <c r="C25">
        <v>51</v>
      </c>
      <c r="D25">
        <v>6</v>
      </c>
      <c r="E25">
        <v>20</v>
      </c>
      <c r="F25">
        <v>5108.7119591551709</v>
      </c>
      <c r="G25" s="7">
        <v>4359.0199942098761</v>
      </c>
      <c r="H25">
        <v>88.1875</v>
      </c>
      <c r="I25">
        <v>4</v>
      </c>
      <c r="J25">
        <v>750</v>
      </c>
      <c r="K25">
        <v>7200</v>
      </c>
      <c r="L25">
        <v>720</v>
      </c>
      <c r="M25">
        <v>39</v>
      </c>
      <c r="N25">
        <v>6</v>
      </c>
      <c r="O25">
        <v>9</v>
      </c>
      <c r="P25">
        <v>2</v>
      </c>
      <c r="Q25">
        <v>0</v>
      </c>
      <c r="S25">
        <v>3687.46</v>
      </c>
      <c r="T25" s="3">
        <f t="shared" si="0"/>
        <v>38.542844102855923</v>
      </c>
      <c r="U25" s="4">
        <f t="shared" si="1"/>
        <v>18.211994006982479</v>
      </c>
      <c r="V25" s="3">
        <f t="shared" si="2"/>
        <v>20.330850095873444</v>
      </c>
    </row>
    <row r="26" spans="1:22" x14ac:dyDescent="0.45">
      <c r="A26" s="8" t="s">
        <v>41</v>
      </c>
      <c r="B26">
        <v>3</v>
      </c>
      <c r="C26">
        <v>51</v>
      </c>
      <c r="D26">
        <v>6</v>
      </c>
      <c r="E26">
        <v>20</v>
      </c>
      <c r="F26">
        <v>5108.7119591551709</v>
      </c>
      <c r="G26" s="7">
        <v>4357.3246103154706</v>
      </c>
      <c r="H26">
        <v>101.25</v>
      </c>
      <c r="I26">
        <v>4</v>
      </c>
      <c r="J26">
        <v>750</v>
      </c>
      <c r="K26">
        <v>7200</v>
      </c>
      <c r="L26">
        <v>720</v>
      </c>
      <c r="M26">
        <v>44</v>
      </c>
      <c r="N26">
        <v>7</v>
      </c>
      <c r="O26">
        <v>11</v>
      </c>
      <c r="P26">
        <v>1</v>
      </c>
      <c r="Q26">
        <v>0</v>
      </c>
      <c r="S26">
        <v>3777.15</v>
      </c>
      <c r="T26" s="3">
        <f t="shared" si="0"/>
        <v>35.253086564080604</v>
      </c>
      <c r="U26" s="4">
        <f t="shared" si="1"/>
        <v>15.360115704048567</v>
      </c>
      <c r="V26" s="3">
        <f t="shared" si="2"/>
        <v>19.892970860032037</v>
      </c>
    </row>
    <row r="27" spans="1:22" x14ac:dyDescent="0.45">
      <c r="A27" s="8" t="s">
        <v>42</v>
      </c>
      <c r="B27">
        <v>3</v>
      </c>
      <c r="C27">
        <v>51</v>
      </c>
      <c r="D27">
        <v>6</v>
      </c>
      <c r="E27">
        <v>20</v>
      </c>
      <c r="F27">
        <v>5095.5001427590814</v>
      </c>
      <c r="G27" s="7">
        <v>4460.9124962266033</v>
      </c>
      <c r="H27">
        <v>91</v>
      </c>
      <c r="I27">
        <v>4</v>
      </c>
      <c r="J27">
        <v>750</v>
      </c>
      <c r="K27">
        <v>7200</v>
      </c>
      <c r="L27">
        <v>720</v>
      </c>
      <c r="M27">
        <v>26</v>
      </c>
      <c r="N27">
        <v>7</v>
      </c>
      <c r="O27">
        <v>8</v>
      </c>
      <c r="P27">
        <v>1</v>
      </c>
      <c r="Q27">
        <v>0</v>
      </c>
      <c r="S27">
        <v>3795.33</v>
      </c>
      <c r="T27" s="3">
        <f t="shared" si="0"/>
        <v>34.257103934548013</v>
      </c>
      <c r="U27" s="4">
        <f t="shared" si="1"/>
        <v>17.53688075151841</v>
      </c>
      <c r="V27" s="3">
        <f t="shared" si="2"/>
        <v>16.720223183029603</v>
      </c>
    </row>
    <row r="28" spans="1:22" x14ac:dyDescent="0.45">
      <c r="A28" s="8" t="s">
        <v>43</v>
      </c>
      <c r="B28">
        <v>6</v>
      </c>
      <c r="C28">
        <v>102</v>
      </c>
      <c r="D28">
        <v>6</v>
      </c>
      <c r="E28">
        <v>20</v>
      </c>
      <c r="F28">
        <v>33794.612677890836</v>
      </c>
      <c r="G28" s="7">
        <v>29173.194027599049</v>
      </c>
      <c r="H28">
        <v>623.21875</v>
      </c>
      <c r="I28">
        <v>4</v>
      </c>
      <c r="J28">
        <v>750</v>
      </c>
      <c r="K28">
        <v>7200</v>
      </c>
      <c r="L28">
        <v>720</v>
      </c>
      <c r="M28">
        <v>85</v>
      </c>
      <c r="N28">
        <v>17</v>
      </c>
      <c r="O28">
        <v>29</v>
      </c>
      <c r="P28">
        <v>2</v>
      </c>
      <c r="Q28">
        <v>0</v>
      </c>
      <c r="S28">
        <v>21956.46</v>
      </c>
      <c r="T28" s="3">
        <f t="shared" si="0"/>
        <v>53.916490535773249</v>
      </c>
      <c r="U28" s="4">
        <f t="shared" si="1"/>
        <v>32.868386013041487</v>
      </c>
      <c r="V28" s="3">
        <f t="shared" si="2"/>
        <v>21.048104522731762</v>
      </c>
    </row>
    <row r="29" spans="1:22" x14ac:dyDescent="0.45">
      <c r="A29" s="8" t="s">
        <v>44</v>
      </c>
      <c r="B29">
        <v>6</v>
      </c>
      <c r="C29">
        <v>102</v>
      </c>
      <c r="D29">
        <v>6</v>
      </c>
      <c r="E29">
        <v>20</v>
      </c>
      <c r="F29">
        <v>33794.612677890836</v>
      </c>
      <c r="G29" s="7">
        <v>28222.941323107108</v>
      </c>
      <c r="H29">
        <v>598.890625</v>
      </c>
      <c r="I29">
        <v>4</v>
      </c>
      <c r="J29">
        <v>750</v>
      </c>
      <c r="K29">
        <v>7200</v>
      </c>
      <c r="L29">
        <v>720</v>
      </c>
      <c r="M29">
        <v>113</v>
      </c>
      <c r="N29">
        <v>20</v>
      </c>
      <c r="O29">
        <v>31</v>
      </c>
      <c r="P29">
        <v>1</v>
      </c>
      <c r="Q29">
        <v>0</v>
      </c>
      <c r="S29">
        <v>22934.71</v>
      </c>
      <c r="T29" s="3">
        <f t="shared" si="0"/>
        <v>47.351384333574913</v>
      </c>
      <c r="U29" s="4">
        <f t="shared" si="1"/>
        <v>23.057764075094511</v>
      </c>
      <c r="V29" s="3">
        <f t="shared" si="2"/>
        <v>24.293620258480402</v>
      </c>
    </row>
    <row r="30" spans="1:22" x14ac:dyDescent="0.45">
      <c r="A30" s="8" t="s">
        <v>45</v>
      </c>
      <c r="B30">
        <v>6</v>
      </c>
      <c r="C30">
        <v>102</v>
      </c>
      <c r="D30">
        <v>6</v>
      </c>
      <c r="E30">
        <v>20</v>
      </c>
      <c r="F30">
        <v>34142.254083445099</v>
      </c>
      <c r="G30" s="7">
        <v>29568.401911469911</v>
      </c>
      <c r="H30">
        <v>697.90625</v>
      </c>
      <c r="I30">
        <v>4</v>
      </c>
      <c r="J30">
        <v>750</v>
      </c>
      <c r="K30">
        <v>7200</v>
      </c>
      <c r="L30">
        <v>720</v>
      </c>
      <c r="M30">
        <v>66</v>
      </c>
      <c r="N30">
        <v>55</v>
      </c>
      <c r="O30">
        <v>25</v>
      </c>
      <c r="P30">
        <v>0</v>
      </c>
      <c r="Q30">
        <v>0</v>
      </c>
      <c r="S30">
        <v>22909.360000000001</v>
      </c>
      <c r="T30" s="3">
        <f t="shared" si="0"/>
        <v>49.031898243534954</v>
      </c>
      <c r="U30" s="4">
        <f t="shared" si="1"/>
        <v>29.066905018166864</v>
      </c>
      <c r="V30" s="3">
        <f t="shared" si="2"/>
        <v>19.96499322536809</v>
      </c>
    </row>
    <row r="31" spans="1:22" x14ac:dyDescent="0.45">
      <c r="A31" s="8" t="s">
        <v>46</v>
      </c>
      <c r="B31">
        <v>9</v>
      </c>
      <c r="C31">
        <v>153</v>
      </c>
      <c r="D31">
        <v>6</v>
      </c>
      <c r="E31">
        <v>20</v>
      </c>
      <c r="F31">
        <v>125606.574243333</v>
      </c>
      <c r="G31" s="7">
        <v>105638.9460886848</v>
      </c>
      <c r="H31">
        <v>4013.90625</v>
      </c>
      <c r="I31">
        <v>4</v>
      </c>
      <c r="J31">
        <v>750</v>
      </c>
      <c r="K31">
        <v>7200</v>
      </c>
      <c r="L31">
        <v>720</v>
      </c>
      <c r="M31">
        <v>141</v>
      </c>
      <c r="N31">
        <v>19</v>
      </c>
      <c r="O31">
        <v>58</v>
      </c>
      <c r="P31">
        <v>9</v>
      </c>
      <c r="Q31">
        <v>0</v>
      </c>
      <c r="S31">
        <v>75016.58</v>
      </c>
      <c r="T31" s="3">
        <f t="shared" si="0"/>
        <v>67.438417271665799</v>
      </c>
      <c r="U31" s="4">
        <f t="shared" si="1"/>
        <v>40.820797333982426</v>
      </c>
      <c r="V31" s="3">
        <f t="shared" si="2"/>
        <v>26.617619937683372</v>
      </c>
    </row>
    <row r="32" spans="1:22" x14ac:dyDescent="0.45">
      <c r="A32" s="8" t="s">
        <v>47</v>
      </c>
      <c r="B32">
        <v>9</v>
      </c>
      <c r="C32">
        <v>153</v>
      </c>
      <c r="D32">
        <v>6</v>
      </c>
      <c r="E32">
        <v>20</v>
      </c>
      <c r="F32">
        <v>127635.67882667739</v>
      </c>
      <c r="G32" s="7">
        <v>102544.036066917</v>
      </c>
      <c r="H32">
        <v>2375.03125</v>
      </c>
      <c r="I32">
        <v>4</v>
      </c>
      <c r="J32">
        <v>750</v>
      </c>
      <c r="K32">
        <v>7200</v>
      </c>
      <c r="L32">
        <v>720</v>
      </c>
      <c r="M32">
        <v>124</v>
      </c>
      <c r="N32">
        <v>32</v>
      </c>
      <c r="O32">
        <v>56</v>
      </c>
      <c r="P32">
        <v>0</v>
      </c>
      <c r="Q32">
        <v>0</v>
      </c>
      <c r="S32">
        <v>78179.89</v>
      </c>
      <c r="T32" s="3">
        <f t="shared" si="0"/>
        <v>63.258964455792125</v>
      </c>
      <c r="U32" s="4">
        <f t="shared" si="1"/>
        <v>31.164211240150109</v>
      </c>
      <c r="V32" s="3">
        <f t="shared" si="2"/>
        <v>32.094753215642015</v>
      </c>
    </row>
    <row r="33" spans="1:22" x14ac:dyDescent="0.45">
      <c r="A33" s="8" t="s">
        <v>48</v>
      </c>
      <c r="B33">
        <v>9</v>
      </c>
      <c r="C33">
        <v>153</v>
      </c>
      <c r="D33">
        <v>6</v>
      </c>
      <c r="E33">
        <v>20</v>
      </c>
      <c r="F33">
        <v>126353.9267526294</v>
      </c>
      <c r="G33" s="7">
        <v>103117.8241508794</v>
      </c>
      <c r="H33">
        <v>5358.4375</v>
      </c>
      <c r="I33">
        <v>4</v>
      </c>
      <c r="J33">
        <v>750</v>
      </c>
      <c r="K33">
        <v>7200</v>
      </c>
      <c r="L33">
        <v>720</v>
      </c>
      <c r="M33">
        <v>158</v>
      </c>
      <c r="N33">
        <v>59</v>
      </c>
      <c r="O33">
        <v>62</v>
      </c>
      <c r="P33">
        <v>3</v>
      </c>
      <c r="Q33">
        <v>0</v>
      </c>
      <c r="S33">
        <v>80479.199999999997</v>
      </c>
      <c r="T33" s="3">
        <f t="shared" si="0"/>
        <v>57.00196666049041</v>
      </c>
      <c r="U33" s="4">
        <f t="shared" si="1"/>
        <v>28.129782789689017</v>
      </c>
      <c r="V33" s="3">
        <f t="shared" si="2"/>
        <v>28.872183870801393</v>
      </c>
    </row>
    <row r="35" spans="1:22" x14ac:dyDescent="0.45">
      <c r="T35" s="3">
        <f>SUM(T2:T33)/32</f>
        <v>33.879336864738725</v>
      </c>
      <c r="U35" s="4">
        <f>SUM(U2:U33)/32</f>
        <v>18.822123938771689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Menon</cp:lastModifiedBy>
  <dcterms:created xsi:type="dcterms:W3CDTF">2025-06-30T09:17:59Z</dcterms:created>
  <dcterms:modified xsi:type="dcterms:W3CDTF">2025-06-30T09:35:18Z</dcterms:modified>
</cp:coreProperties>
</file>