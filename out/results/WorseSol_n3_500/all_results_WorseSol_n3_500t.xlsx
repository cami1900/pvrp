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WorseSol_n3_500\"/>
    </mc:Choice>
  </mc:AlternateContent>
  <xr:revisionPtr revIDLastSave="0" documentId="13_ncr:1_{635BAE6A-90A2-450D-990F-2951AC48C3B1}" xr6:coauthVersionLast="47" xr6:coauthVersionMax="47" xr10:uidLastSave="{00000000-0000-0000-0000-000000000000}"/>
  <bookViews>
    <workbookView xWindow="14303" yWindow="-2138" windowWidth="21795" windowHeight="12975" activeTab="1" xr2:uid="{00000000-000D-0000-FFFF-FFFF00000000}"/>
  </bookViews>
  <sheets>
    <sheet name="Chart1" sheetId="3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1" l="1"/>
  <c r="AB13" i="1" s="1"/>
  <c r="AA29" i="1"/>
  <c r="AB29" i="1" s="1"/>
  <c r="T36" i="1"/>
  <c r="T37" i="1" s="1"/>
  <c r="H36" i="1"/>
  <c r="H37" i="1" s="1"/>
  <c r="Y11" i="1"/>
  <c r="AA11" i="1" s="1"/>
  <c r="AB11" i="1" s="1"/>
  <c r="Y12" i="1"/>
  <c r="AA12" i="1" s="1"/>
  <c r="AB12" i="1" s="1"/>
  <c r="Y13" i="1"/>
  <c r="Y27" i="1"/>
  <c r="AA27" i="1" s="1"/>
  <c r="AB27" i="1" s="1"/>
  <c r="Y28" i="1"/>
  <c r="AA28" i="1" s="1"/>
  <c r="AB28" i="1" s="1"/>
  <c r="Y29" i="1"/>
  <c r="X4" i="1"/>
  <c r="Y4" i="1" s="1"/>
  <c r="AA4" i="1" s="1"/>
  <c r="AB4" i="1" s="1"/>
  <c r="X5" i="1"/>
  <c r="Y5" i="1" s="1"/>
  <c r="AA5" i="1" s="1"/>
  <c r="AB5" i="1" s="1"/>
  <c r="X6" i="1"/>
  <c r="Y6" i="1" s="1"/>
  <c r="AA6" i="1" s="1"/>
  <c r="AB6" i="1" s="1"/>
  <c r="X7" i="1"/>
  <c r="Y7" i="1" s="1"/>
  <c r="AA7" i="1" s="1"/>
  <c r="AB7" i="1" s="1"/>
  <c r="X8" i="1"/>
  <c r="Y8" i="1" s="1"/>
  <c r="AA8" i="1" s="1"/>
  <c r="AB8" i="1" s="1"/>
  <c r="X9" i="1"/>
  <c r="Y9" i="1" s="1"/>
  <c r="AA9" i="1" s="1"/>
  <c r="AB9" i="1" s="1"/>
  <c r="X10" i="1"/>
  <c r="Y10" i="1" s="1"/>
  <c r="AA10" i="1" s="1"/>
  <c r="AB10" i="1" s="1"/>
  <c r="X11" i="1"/>
  <c r="X12" i="1"/>
  <c r="X13" i="1"/>
  <c r="X14" i="1"/>
  <c r="Y14" i="1" s="1"/>
  <c r="AA14" i="1" s="1"/>
  <c r="AB14" i="1" s="1"/>
  <c r="X15" i="1"/>
  <c r="Y15" i="1" s="1"/>
  <c r="AA15" i="1" s="1"/>
  <c r="AB15" i="1" s="1"/>
  <c r="X16" i="1"/>
  <c r="Y16" i="1" s="1"/>
  <c r="AA16" i="1" s="1"/>
  <c r="AB16" i="1" s="1"/>
  <c r="X17" i="1"/>
  <c r="Y17" i="1" s="1"/>
  <c r="AA17" i="1" s="1"/>
  <c r="AB17" i="1" s="1"/>
  <c r="X18" i="1"/>
  <c r="Y18" i="1" s="1"/>
  <c r="AA18" i="1" s="1"/>
  <c r="AB18" i="1" s="1"/>
  <c r="X19" i="1"/>
  <c r="Y19" i="1" s="1"/>
  <c r="AA19" i="1" s="1"/>
  <c r="AB19" i="1" s="1"/>
  <c r="X20" i="1"/>
  <c r="Y20" i="1" s="1"/>
  <c r="AA20" i="1" s="1"/>
  <c r="AB20" i="1" s="1"/>
  <c r="X21" i="1"/>
  <c r="Y21" i="1" s="1"/>
  <c r="AA21" i="1" s="1"/>
  <c r="AB21" i="1" s="1"/>
  <c r="X22" i="1"/>
  <c r="Y22" i="1" s="1"/>
  <c r="AA22" i="1" s="1"/>
  <c r="AB22" i="1" s="1"/>
  <c r="X23" i="1"/>
  <c r="Y23" i="1" s="1"/>
  <c r="AA23" i="1" s="1"/>
  <c r="AB23" i="1" s="1"/>
  <c r="X24" i="1"/>
  <c r="Y24" i="1" s="1"/>
  <c r="AA24" i="1" s="1"/>
  <c r="AB24" i="1" s="1"/>
  <c r="X25" i="1"/>
  <c r="Y25" i="1" s="1"/>
  <c r="AA25" i="1" s="1"/>
  <c r="AB25" i="1" s="1"/>
  <c r="X26" i="1"/>
  <c r="Y26" i="1" s="1"/>
  <c r="AA26" i="1" s="1"/>
  <c r="AB26" i="1" s="1"/>
  <c r="X27" i="1"/>
  <c r="X28" i="1"/>
  <c r="X29" i="1"/>
  <c r="X30" i="1"/>
  <c r="Y30" i="1" s="1"/>
  <c r="AA30" i="1" s="1"/>
  <c r="AB30" i="1" s="1"/>
  <c r="X31" i="1"/>
  <c r="Y31" i="1" s="1"/>
  <c r="AA31" i="1" s="1"/>
  <c r="AB31" i="1" s="1"/>
  <c r="X32" i="1"/>
  <c r="Y32" i="1" s="1"/>
  <c r="AA32" i="1" s="1"/>
  <c r="AB32" i="1" s="1"/>
  <c r="X33" i="1"/>
  <c r="Y33" i="1" s="1"/>
  <c r="AA33" i="1" s="1"/>
  <c r="AB33" i="1" s="1"/>
  <c r="X34" i="1"/>
  <c r="Y34" i="1" s="1"/>
  <c r="AA34" i="1" s="1"/>
  <c r="AB34" i="1" s="1"/>
  <c r="X3" i="1"/>
  <c r="X36" i="1" s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" i="1"/>
  <c r="W36" i="1" s="1"/>
  <c r="Y3" i="1" l="1"/>
  <c r="AA3" i="1" s="1"/>
  <c r="AB3" i="1" s="1"/>
  <c r="AB36" i="1" s="1"/>
</calcChain>
</file>

<file path=xl/sharedStrings.xml><?xml version="1.0" encoding="utf-8"?>
<sst xmlns="http://schemas.openxmlformats.org/spreadsheetml/2006/main" count="63" uniqueCount="59">
  <si>
    <t>instance</t>
  </si>
  <si>
    <t>vehicles</t>
  </si>
  <si>
    <t>clients</t>
  </si>
  <si>
    <t>days</t>
  </si>
  <si>
    <t>capacity</t>
  </si>
  <si>
    <t>initial_sol_val</t>
  </si>
  <si>
    <t>VND_sol_val</t>
  </si>
  <si>
    <t>time</t>
  </si>
  <si>
    <t>max_neigh</t>
  </si>
  <si>
    <t>max_iter</t>
  </si>
  <si>
    <t>VND_time_limit</t>
  </si>
  <si>
    <t>neigh_time_limit</t>
  </si>
  <si>
    <t>neigh_0</t>
  </si>
  <si>
    <t>neigh_1</t>
  </si>
  <si>
    <t>neigh_2</t>
  </si>
  <si>
    <t>neigh_3</t>
  </si>
  <si>
    <t>neigh_4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</si>
  <si>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</si>
  <si>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</si>
  <si>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</si>
  <si>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</si>
  <si>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</si>
  <si>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</si>
  <si>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</si>
  <si>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</si>
  <si>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</si>
  <si>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</si>
  <si>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</si>
  <si>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</si>
  <si>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</si>
  <si>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</si>
  <si>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</si>
  <si>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</si>
  <si>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</si>
  <si>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</si>
  <si>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</si>
  <si>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</si>
  <si>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</si>
  <si>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</si>
  <si>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</si>
  <si>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</si>
  <si>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</si>
  <si>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</si>
  <si>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</si>
  <si>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</si>
  <si>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</si>
  <si>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</si>
  <si>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</si>
  <si>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</si>
  <si>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best result k.</t>
  </si>
  <si>
    <t>% VND_ws</t>
  </si>
  <si>
    <t>% VND_base</t>
  </si>
  <si>
    <t>base - ws</t>
  </si>
  <si>
    <t>seconds</t>
  </si>
  <si>
    <t>minutes</t>
  </si>
  <si>
    <t>pick best</t>
  </si>
  <si>
    <t>%</t>
  </si>
  <si>
    <t>noTimeLimit_500</t>
  </si>
  <si>
    <t>WorseSol_n3_500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</si>
</sst>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6" tint="0.39997558519241921"/>
      </left>
      <right/>
      <top style="medium">
        <color theme="6" tint="0.39997558519241921"/>
      </top>
      <bottom style="medium">
        <color theme="6" tint="0.39997558519241921"/>
      </bottom>
      <diagonal/>
    </border>
    <border>
      <left/>
      <right/>
      <top style="medium">
        <color theme="6" tint="0.39997558519241921"/>
      </top>
      <bottom style="medium">
        <color theme="6" tint="0.39997558519241921"/>
      </bottom>
      <diagonal/>
    </border>
    <border>
      <left/>
      <right style="medium">
        <color theme="6" tint="0.39997558519241921"/>
      </right>
      <top style="medium">
        <color theme="6" tint="0.39997558519241921"/>
      </top>
      <bottom style="medium">
        <color theme="6" tint="0.39997558519241921"/>
      </bottom>
      <diagonal/>
    </border>
    <border>
      <left style="medium">
        <color theme="5" tint="0.39997558519241921"/>
      </left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6" tint="0.3999755851924192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horizontal="center"/>
    </xf>
    <xf numFmtId="0" fontId="1" fillId="11" borderId="1" xfId="0" applyFont="1" applyFill="1" applyBorder="1" applyAlignment="1">
      <alignment horizontal="center" vertical="top"/>
    </xf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0" fillId="3" borderId="3" xfId="0" applyFill="1" applyBorder="1"/>
    <xf numFmtId="0" fontId="0" fillId="2" borderId="2" xfId="0" applyFill="1" applyBorder="1"/>
    <xf numFmtId="0" fontId="0" fillId="3" borderId="2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ill="1"/>
    <xf numFmtId="0" fontId="0" fillId="12" borderId="0" xfId="0" applyFill="1"/>
    <xf numFmtId="0" fontId="0" fillId="2" borderId="4" xfId="0" applyFill="1" applyBorder="1"/>
    <xf numFmtId="0" fontId="0" fillId="3" borderId="4" xfId="0" applyFill="1" applyBorder="1"/>
    <xf numFmtId="0" fontId="1" fillId="5" borderId="15" xfId="0" applyFont="1" applyFill="1" applyBorder="1" applyAlignment="1">
      <alignment horizontal="center" vertical="top"/>
    </xf>
    <xf numFmtId="0" fontId="1" fillId="11" borderId="15" xfId="0" applyFont="1" applyFill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4" borderId="15" xfId="0" applyFont="1" applyFill="1" applyBorder="1" applyAlignment="1">
      <alignment horizontal="center" vertical="top"/>
    </xf>
    <xf numFmtId="0" fontId="0" fillId="0" borderId="0" xfId="0" applyFill="1" applyBorder="1"/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C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WorseSol_n3_500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Sheet1!$F$2:$F$34</c:f>
              <c:numCache>
                <c:formatCode>General</c:formatCode>
                <c:ptCount val="33"/>
                <c:pt idx="0">
                  <c:v>0</c:v>
                </c:pt>
                <c:pt idx="1">
                  <c:v>699.94207123913566</c:v>
                </c:pt>
                <c:pt idx="2">
                  <c:v>1806.0337130867761</c:v>
                </c:pt>
                <c:pt idx="3">
                  <c:v>707.71782597313984</c:v>
                </c:pt>
                <c:pt idx="4">
                  <c:v>1191.564504632046</c:v>
                </c:pt>
                <c:pt idx="5">
                  <c:v>2803.0667370561068</c:v>
                </c:pt>
                <c:pt idx="6">
                  <c:v>1202.7378153136131</c:v>
                </c:pt>
                <c:pt idx="7">
                  <c:v>1215.7122377784151</c:v>
                </c:pt>
                <c:pt idx="8">
                  <c:v>2739.4842456620681</c:v>
                </c:pt>
                <c:pt idx="9">
                  <c:v>1212.110570350635</c:v>
                </c:pt>
                <c:pt idx="10">
                  <c:v>2325.542031937076</c:v>
                </c:pt>
                <c:pt idx="11">
                  <c:v>1149.8347182885921</c:v>
                </c:pt>
                <c:pt idx="12">
                  <c:v>1746.675638572028</c:v>
                </c:pt>
                <c:pt idx="13">
                  <c:v>6334.1302932916942</c:v>
                </c:pt>
                <c:pt idx="14">
                  <c:v>954.80711889752502</c:v>
                </c:pt>
                <c:pt idx="15">
                  <c:v>1899.885733385785</c:v>
                </c:pt>
                <c:pt idx="16">
                  <c:v>3201.1465251106042</c:v>
                </c:pt>
                <c:pt idx="17">
                  <c:v>1703.872161915519</c:v>
                </c:pt>
                <c:pt idx="18">
                  <c:v>3217.167440359513</c:v>
                </c:pt>
                <c:pt idx="19">
                  <c:v>4855.7678865271791</c:v>
                </c:pt>
                <c:pt idx="20">
                  <c:v>9441.6174868667931</c:v>
                </c:pt>
                <c:pt idx="21">
                  <c:v>2476.4553897065998</c:v>
                </c:pt>
                <c:pt idx="22">
                  <c:v>4608.9469410204683</c:v>
                </c:pt>
                <c:pt idx="23">
                  <c:v>6836.8705930980686</c:v>
                </c:pt>
                <c:pt idx="24">
                  <c:v>5108.7119591551709</c:v>
                </c:pt>
                <c:pt idx="25">
                  <c:v>5108.7119591551709</c:v>
                </c:pt>
                <c:pt idx="26">
                  <c:v>5095.5001427590814</c:v>
                </c:pt>
                <c:pt idx="27">
                  <c:v>33794.612677890836</c:v>
                </c:pt>
                <c:pt idx="28">
                  <c:v>33794.612677890836</c:v>
                </c:pt>
                <c:pt idx="29">
                  <c:v>34142.254083445099</c:v>
                </c:pt>
                <c:pt idx="30">
                  <c:v>125606.574243333</c:v>
                </c:pt>
                <c:pt idx="31">
                  <c:v>127635.67882667739</c:v>
                </c:pt>
                <c:pt idx="32">
                  <c:v>126353.9267526294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1-48A9-B73F-A0C27F4D6FCC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Sheet1!$G$2:$G$34</c:f>
              <c:numCache>
                <c:formatCode>General</c:formatCode>
                <c:ptCount val="33"/>
                <c:pt idx="0">
                  <c:v>0</c:v>
                </c:pt>
                <c:pt idx="1">
                  <c:v>584.69349884827034</c:v>
                </c:pt>
                <c:pt idx="2">
                  <c:v>1546.300299177055</c:v>
                </c:pt>
                <c:pt idx="3">
                  <c:v>631.5644526152646</c:v>
                </c:pt>
                <c:pt idx="4">
                  <c:v>963.71730816416539</c:v>
                </c:pt>
                <c:pt idx="5">
                  <c:v>2443.330791269967</c:v>
                </c:pt>
                <c:pt idx="6">
                  <c:v>972.10478291269419</c:v>
                </c:pt>
                <c:pt idx="7">
                  <c:v>997.58955401082881</c:v>
                </c:pt>
                <c:pt idx="8">
                  <c:v>2506.1831121408818</c:v>
                </c:pt>
                <c:pt idx="9">
                  <c:v>971.59881465973649</c:v>
                </c:pt>
                <c:pt idx="10">
                  <c:v>2023.7346463817701</c:v>
                </c:pt>
                <c:pt idx="11">
                  <c:v>954.03885837879</c:v>
                </c:pt>
                <c:pt idx="12">
                  <c:v>1464.9216936947751</c:v>
                </c:pt>
                <c:pt idx="13">
                  <c:v>4981.4156732220272</c:v>
                </c:pt>
                <c:pt idx="14">
                  <c:v>965.25776824586569</c:v>
                </c:pt>
                <c:pt idx="15">
                  <c:v>2006.869145934322</c:v>
                </c:pt>
                <c:pt idx="16">
                  <c:v>3179.0510337214159</c:v>
                </c:pt>
                <c:pt idx="17">
                  <c:v>1763.4618563602039</c:v>
                </c:pt>
                <c:pt idx="18">
                  <c:v>3311.2409222506449</c:v>
                </c:pt>
                <c:pt idx="19">
                  <c:v>4953.7552499289868</c:v>
                </c:pt>
                <c:pt idx="20">
                  <c:v>9650.9357767017973</c:v>
                </c:pt>
                <c:pt idx="21">
                  <c:v>2479.3617946247891</c:v>
                </c:pt>
                <c:pt idx="22">
                  <c:v>4745.7557418955239</c:v>
                </c:pt>
                <c:pt idx="23">
                  <c:v>6989.604938603542</c:v>
                </c:pt>
                <c:pt idx="24">
                  <c:v>4358.9890272077064</c:v>
                </c:pt>
                <c:pt idx="25">
                  <c:v>4358.9890272077064</c:v>
                </c:pt>
                <c:pt idx="26">
                  <c:v>4435.8424195415664</c:v>
                </c:pt>
                <c:pt idx="27">
                  <c:v>27276.42321165383</c:v>
                </c:pt>
                <c:pt idx="28">
                  <c:v>27011.940335275751</c:v>
                </c:pt>
                <c:pt idx="29">
                  <c:v>29678.314425531549</c:v>
                </c:pt>
                <c:pt idx="30">
                  <c:v>97985.757788991614</c:v>
                </c:pt>
                <c:pt idx="31">
                  <c:v>103438.1889118368</c:v>
                </c:pt>
                <c:pt idx="32">
                  <c:v>100089.411870336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A1-48A9-B73F-A0C27F4D6FCC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Sheet1!$H$2:$H$34</c:f>
              <c:numCache>
                <c:formatCode>General</c:formatCode>
                <c:ptCount val="33"/>
                <c:pt idx="0">
                  <c:v>0</c:v>
                </c:pt>
                <c:pt idx="1">
                  <c:v>30.078125</c:v>
                </c:pt>
                <c:pt idx="2">
                  <c:v>93.09375</c:v>
                </c:pt>
                <c:pt idx="3">
                  <c:v>6.921875</c:v>
                </c:pt>
                <c:pt idx="4">
                  <c:v>188.265625</c:v>
                </c:pt>
                <c:pt idx="5">
                  <c:v>160.71875</c:v>
                </c:pt>
                <c:pt idx="6">
                  <c:v>21.171875</c:v>
                </c:pt>
                <c:pt idx="7">
                  <c:v>101.890625</c:v>
                </c:pt>
                <c:pt idx="8">
                  <c:v>291.53125</c:v>
                </c:pt>
                <c:pt idx="9">
                  <c:v>15.359375</c:v>
                </c:pt>
                <c:pt idx="10">
                  <c:v>233.453125</c:v>
                </c:pt>
                <c:pt idx="11">
                  <c:v>615.234375</c:v>
                </c:pt>
                <c:pt idx="12">
                  <c:v>691.609375</c:v>
                </c:pt>
                <c:pt idx="13">
                  <c:v>14431.28125</c:v>
                </c:pt>
                <c:pt idx="14">
                  <c:v>10.9375</c:v>
                </c:pt>
                <c:pt idx="15">
                  <c:v>9.765625</c:v>
                </c:pt>
                <c:pt idx="16">
                  <c:v>18.125</c:v>
                </c:pt>
                <c:pt idx="17">
                  <c:v>31.296875</c:v>
                </c:pt>
                <c:pt idx="18">
                  <c:v>43.65625</c:v>
                </c:pt>
                <c:pt idx="19">
                  <c:v>19.859375</c:v>
                </c:pt>
                <c:pt idx="20">
                  <c:v>36.40625</c:v>
                </c:pt>
                <c:pt idx="21">
                  <c:v>30.171875</c:v>
                </c:pt>
                <c:pt idx="22">
                  <c:v>186.203125</c:v>
                </c:pt>
                <c:pt idx="23">
                  <c:v>18.140625</c:v>
                </c:pt>
                <c:pt idx="24">
                  <c:v>104.21875</c:v>
                </c:pt>
                <c:pt idx="25">
                  <c:v>104.828125</c:v>
                </c:pt>
                <c:pt idx="26">
                  <c:v>80.40625</c:v>
                </c:pt>
                <c:pt idx="27">
                  <c:v>700.03125</c:v>
                </c:pt>
                <c:pt idx="28">
                  <c:v>803.8125</c:v>
                </c:pt>
                <c:pt idx="29">
                  <c:v>632.671875</c:v>
                </c:pt>
                <c:pt idx="30">
                  <c:v>3918.515625</c:v>
                </c:pt>
                <c:pt idx="31">
                  <c:v>2821.71875</c:v>
                </c:pt>
                <c:pt idx="32">
                  <c:v>7631.71875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A1-48A9-B73F-A0C27F4D6FCC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Sheet1!$I$2:$I$34</c:f>
              <c:numCache>
                <c:formatCode>General</c:formatCode>
                <c:ptCount val="33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A1-48A9-B73F-A0C27F4D6FCC}"/>
            </c:ext>
          </c:extLst>
        </c:ser>
        <c:ser>
          <c:idx val="4"/>
          <c:order val="4"/>
          <c:tx>
            <c:strRef>
              <c:f>Sheet1!$J$1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Sheet1!$J$2:$J$34</c:f>
              <c:numCache>
                <c:formatCode>General</c:formatCode>
                <c:ptCount val="33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A1-48A9-B73F-A0C27F4D6FCC}"/>
            </c:ext>
          </c:extLst>
        </c:ser>
        <c:ser>
          <c:idx val="5"/>
          <c:order val="5"/>
          <c:tx>
            <c:strRef>
              <c:f>Sheet1!$K$1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Sheet1!$K$2:$K$34</c:f>
              <c:numCache>
                <c:formatCode>General</c:formatCode>
                <c:ptCount val="33"/>
                <c:pt idx="0">
                  <c:v>0</c:v>
                </c:pt>
                <c:pt idx="1">
                  <c:v>7200</c:v>
                </c:pt>
                <c:pt idx="2">
                  <c:v>7200</c:v>
                </c:pt>
                <c:pt idx="3">
                  <c:v>7200</c:v>
                </c:pt>
                <c:pt idx="4">
                  <c:v>7200</c:v>
                </c:pt>
                <c:pt idx="5">
                  <c:v>7200</c:v>
                </c:pt>
                <c:pt idx="6">
                  <c:v>7200</c:v>
                </c:pt>
                <c:pt idx="7">
                  <c:v>7200</c:v>
                </c:pt>
                <c:pt idx="8">
                  <c:v>7200</c:v>
                </c:pt>
                <c:pt idx="9">
                  <c:v>7200</c:v>
                </c:pt>
                <c:pt idx="10">
                  <c:v>7200</c:v>
                </c:pt>
                <c:pt idx="11">
                  <c:v>7200</c:v>
                </c:pt>
                <c:pt idx="12">
                  <c:v>7200</c:v>
                </c:pt>
                <c:pt idx="13">
                  <c:v>7200</c:v>
                </c:pt>
                <c:pt idx="14">
                  <c:v>7200</c:v>
                </c:pt>
                <c:pt idx="15">
                  <c:v>7200</c:v>
                </c:pt>
                <c:pt idx="16">
                  <c:v>7200</c:v>
                </c:pt>
                <c:pt idx="17">
                  <c:v>7200</c:v>
                </c:pt>
                <c:pt idx="18">
                  <c:v>7200</c:v>
                </c:pt>
                <c:pt idx="19">
                  <c:v>7200</c:v>
                </c:pt>
                <c:pt idx="20">
                  <c:v>7200</c:v>
                </c:pt>
                <c:pt idx="21">
                  <c:v>7200</c:v>
                </c:pt>
                <c:pt idx="22">
                  <c:v>7200</c:v>
                </c:pt>
                <c:pt idx="23">
                  <c:v>7200</c:v>
                </c:pt>
                <c:pt idx="24">
                  <c:v>7200</c:v>
                </c:pt>
                <c:pt idx="25">
                  <c:v>7200</c:v>
                </c:pt>
                <c:pt idx="26">
                  <c:v>7200</c:v>
                </c:pt>
                <c:pt idx="27">
                  <c:v>7200</c:v>
                </c:pt>
                <c:pt idx="28">
                  <c:v>7200</c:v>
                </c:pt>
                <c:pt idx="29">
                  <c:v>7200</c:v>
                </c:pt>
                <c:pt idx="30">
                  <c:v>7200</c:v>
                </c:pt>
                <c:pt idx="31">
                  <c:v>7200</c:v>
                </c:pt>
                <c:pt idx="32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A1-48A9-B73F-A0C27F4D6FCC}"/>
            </c:ext>
          </c:extLst>
        </c:ser>
        <c:ser>
          <c:idx val="6"/>
          <c:order val="6"/>
          <c:tx>
            <c:strRef>
              <c:f>Sheet1!$L$1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Sheet1!$L$2:$L$34</c:f>
              <c:numCache>
                <c:formatCode>General</c:formatCode>
                <c:ptCount val="33"/>
                <c:pt idx="0">
                  <c:v>0</c:v>
                </c:pt>
                <c:pt idx="1">
                  <c:v>7200</c:v>
                </c:pt>
                <c:pt idx="2">
                  <c:v>7200</c:v>
                </c:pt>
                <c:pt idx="3">
                  <c:v>7200</c:v>
                </c:pt>
                <c:pt idx="4">
                  <c:v>7200</c:v>
                </c:pt>
                <c:pt idx="5">
                  <c:v>7200</c:v>
                </c:pt>
                <c:pt idx="6">
                  <c:v>7200</c:v>
                </c:pt>
                <c:pt idx="7">
                  <c:v>7200</c:v>
                </c:pt>
                <c:pt idx="8">
                  <c:v>7200</c:v>
                </c:pt>
                <c:pt idx="9">
                  <c:v>7200</c:v>
                </c:pt>
                <c:pt idx="10">
                  <c:v>7200</c:v>
                </c:pt>
                <c:pt idx="11">
                  <c:v>7200</c:v>
                </c:pt>
                <c:pt idx="12">
                  <c:v>7200</c:v>
                </c:pt>
                <c:pt idx="13">
                  <c:v>7200</c:v>
                </c:pt>
                <c:pt idx="14">
                  <c:v>7200</c:v>
                </c:pt>
                <c:pt idx="15">
                  <c:v>7200</c:v>
                </c:pt>
                <c:pt idx="16">
                  <c:v>7200</c:v>
                </c:pt>
                <c:pt idx="17">
                  <c:v>7200</c:v>
                </c:pt>
                <c:pt idx="18">
                  <c:v>7200</c:v>
                </c:pt>
                <c:pt idx="19">
                  <c:v>7200</c:v>
                </c:pt>
                <c:pt idx="20">
                  <c:v>7200</c:v>
                </c:pt>
                <c:pt idx="21">
                  <c:v>7200</c:v>
                </c:pt>
                <c:pt idx="22">
                  <c:v>7200</c:v>
                </c:pt>
                <c:pt idx="23">
                  <c:v>7200</c:v>
                </c:pt>
                <c:pt idx="24">
                  <c:v>7200</c:v>
                </c:pt>
                <c:pt idx="25">
                  <c:v>7200</c:v>
                </c:pt>
                <c:pt idx="26">
                  <c:v>7200</c:v>
                </c:pt>
                <c:pt idx="27">
                  <c:v>7200</c:v>
                </c:pt>
                <c:pt idx="28">
                  <c:v>7200</c:v>
                </c:pt>
                <c:pt idx="29">
                  <c:v>7200</c:v>
                </c:pt>
                <c:pt idx="30">
                  <c:v>7200</c:v>
                </c:pt>
                <c:pt idx="31">
                  <c:v>7200</c:v>
                </c:pt>
                <c:pt idx="32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A1-48A9-B73F-A0C27F4D6FCC}"/>
            </c:ext>
          </c:extLst>
        </c:ser>
        <c:ser>
          <c:idx val="7"/>
          <c:order val="7"/>
          <c:tx>
            <c:strRef>
              <c:f>Sheet1!$M$1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Sheet1!$M$2:$M$34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10</c:v>
                </c:pt>
                <c:pt idx="8">
                  <c:v>63</c:v>
                </c:pt>
                <c:pt idx="9">
                  <c:v>0</c:v>
                </c:pt>
                <c:pt idx="10">
                  <c:v>39</c:v>
                </c:pt>
                <c:pt idx="11">
                  <c:v>15</c:v>
                </c:pt>
                <c:pt idx="12">
                  <c:v>69</c:v>
                </c:pt>
                <c:pt idx="13">
                  <c:v>46</c:v>
                </c:pt>
                <c:pt idx="14">
                  <c:v>3</c:v>
                </c:pt>
                <c:pt idx="15">
                  <c:v>0</c:v>
                </c:pt>
                <c:pt idx="16">
                  <c:v>2</c:v>
                </c:pt>
                <c:pt idx="17">
                  <c:v>17</c:v>
                </c:pt>
                <c:pt idx="18">
                  <c:v>7</c:v>
                </c:pt>
                <c:pt idx="19">
                  <c:v>7</c:v>
                </c:pt>
                <c:pt idx="20">
                  <c:v>4</c:v>
                </c:pt>
                <c:pt idx="21">
                  <c:v>4</c:v>
                </c:pt>
                <c:pt idx="22">
                  <c:v>12</c:v>
                </c:pt>
                <c:pt idx="23">
                  <c:v>0</c:v>
                </c:pt>
                <c:pt idx="24">
                  <c:v>13</c:v>
                </c:pt>
                <c:pt idx="25">
                  <c:v>13</c:v>
                </c:pt>
                <c:pt idx="26">
                  <c:v>12</c:v>
                </c:pt>
                <c:pt idx="27">
                  <c:v>69</c:v>
                </c:pt>
                <c:pt idx="28">
                  <c:v>97</c:v>
                </c:pt>
                <c:pt idx="29">
                  <c:v>2</c:v>
                </c:pt>
                <c:pt idx="30">
                  <c:v>25</c:v>
                </c:pt>
                <c:pt idx="31">
                  <c:v>24</c:v>
                </c:pt>
                <c:pt idx="3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A1-48A9-B73F-A0C27F4D6FCC}"/>
            </c:ext>
          </c:extLst>
        </c:ser>
        <c:ser>
          <c:idx val="8"/>
          <c:order val="8"/>
          <c:tx>
            <c:strRef>
              <c:f>Sheet1!$N$1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Sheet1!$N$2:$N$34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8</c:v>
                </c:pt>
                <c:pt idx="7">
                  <c:v>4</c:v>
                </c:pt>
                <c:pt idx="8">
                  <c:v>7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11</c:v>
                </c:pt>
                <c:pt idx="13">
                  <c:v>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8</c:v>
                </c:pt>
                <c:pt idx="28">
                  <c:v>19</c:v>
                </c:pt>
                <c:pt idx="29">
                  <c:v>2</c:v>
                </c:pt>
                <c:pt idx="30">
                  <c:v>11</c:v>
                </c:pt>
                <c:pt idx="31">
                  <c:v>12</c:v>
                </c:pt>
                <c:pt idx="3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A1-48A9-B73F-A0C27F4D6FCC}"/>
            </c:ext>
          </c:extLst>
        </c:ser>
        <c:ser>
          <c:idx val="9"/>
          <c:order val="9"/>
          <c:tx>
            <c:strRef>
              <c:f>Sheet1!$O$1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Sheet1!$O$2:$O$34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  <c:pt idx="5">
                  <c:v>11</c:v>
                </c:pt>
                <c:pt idx="6">
                  <c:v>0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11</c:v>
                </c:pt>
                <c:pt idx="11">
                  <c:v>6</c:v>
                </c:pt>
                <c:pt idx="12">
                  <c:v>42</c:v>
                </c:pt>
                <c:pt idx="13">
                  <c:v>48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5</c:v>
                </c:pt>
                <c:pt idx="18">
                  <c:v>6</c:v>
                </c:pt>
                <c:pt idx="19">
                  <c:v>0</c:v>
                </c:pt>
                <c:pt idx="20">
                  <c:v>2</c:v>
                </c:pt>
                <c:pt idx="21">
                  <c:v>3</c:v>
                </c:pt>
                <c:pt idx="22">
                  <c:v>19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27</c:v>
                </c:pt>
                <c:pt idx="28">
                  <c:v>31</c:v>
                </c:pt>
                <c:pt idx="29">
                  <c:v>8</c:v>
                </c:pt>
                <c:pt idx="30">
                  <c:v>15</c:v>
                </c:pt>
                <c:pt idx="31">
                  <c:v>11</c:v>
                </c:pt>
                <c:pt idx="3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A1-48A9-B73F-A0C27F4D6FCC}"/>
            </c:ext>
          </c:extLst>
        </c:ser>
        <c:ser>
          <c:idx val="10"/>
          <c:order val="10"/>
          <c:tx>
            <c:strRef>
              <c:f>Sheet1!$P$1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Sheet1!$P$2:$P$34</c:f>
              <c:numCache>
                <c:formatCode>General</c:formatCode>
                <c:ptCount val="33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>
                  <c:v>12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4</c:v>
                </c:pt>
                <c:pt idx="29">
                  <c:v>2</c:v>
                </c:pt>
                <c:pt idx="30">
                  <c:v>6</c:v>
                </c:pt>
                <c:pt idx="31">
                  <c:v>5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A1-48A9-B73F-A0C27F4D6FCC}"/>
            </c:ext>
          </c:extLst>
        </c:ser>
        <c:ser>
          <c:idx val="11"/>
          <c:order val="11"/>
          <c:tx>
            <c:strRef>
              <c:f>Sheet1!$Q$1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Sheet1!$A$2:$E$34</c:f>
              <c:multiLvlStrCache>
                <c:ptCount val="33"/>
                <c:lvl>
                  <c:pt idx="0">
                    <c:v>capacity</c:v>
                  </c:pt>
                  <c:pt idx="1">
                    <c:v>160</c:v>
                  </c:pt>
                  <c:pt idx="2">
                    <c:v>160</c:v>
                  </c:pt>
                  <c:pt idx="3">
                    <c:v>160</c:v>
                  </c:pt>
                  <c:pt idx="4">
                    <c:v>140</c:v>
                  </c:pt>
                  <c:pt idx="5">
                    <c:v>140</c:v>
                  </c:pt>
                  <c:pt idx="6">
                    <c:v>140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235</c:v>
                  </c:pt>
                  <c:pt idx="12">
                    <c:v>140</c:v>
                  </c:pt>
                  <c:pt idx="13">
                    <c:v>2000</c:v>
                  </c:pt>
                  <c:pt idx="14">
                    <c:v>20</c:v>
                  </c:pt>
                  <c:pt idx="15">
                    <c:v>30</c:v>
                  </c:pt>
                  <c:pt idx="16">
                    <c:v>40</c:v>
                  </c:pt>
                  <c:pt idx="17">
                    <c:v>20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60</c:v>
                  </c:pt>
                  <c:pt idx="21">
                    <c:v>20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20</c:v>
                  </c:pt>
                  <c:pt idx="26">
                    <c:v>20</c:v>
                  </c:pt>
                  <c:pt idx="27">
                    <c:v>20</c:v>
                  </c:pt>
                  <c:pt idx="28">
                    <c:v>20</c:v>
                  </c:pt>
                  <c:pt idx="29">
                    <c:v>20</c:v>
                  </c:pt>
                  <c:pt idx="30">
                    <c:v>20</c:v>
                  </c:pt>
                  <c:pt idx="31">
                    <c:v>20</c:v>
                  </c:pt>
                  <c:pt idx="32">
                    <c:v>20</c:v>
                  </c:pt>
                </c:lvl>
                <c:lvl>
                  <c:pt idx="0">
                    <c:v>days</c:v>
                  </c:pt>
                  <c:pt idx="1">
                    <c:v>2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5</c:v>
                  </c:pt>
                  <c:pt idx="6">
                    <c:v>10</c:v>
                  </c:pt>
                  <c:pt idx="7">
                    <c:v>2</c:v>
                  </c:pt>
                  <c:pt idx="8">
                    <c:v>5</c:v>
                  </c:pt>
                  <c:pt idx="9">
                    <c:v>8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7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</c:lvl>
                <c:lvl>
                  <c:pt idx="0">
                    <c:v>clients</c:v>
                  </c:pt>
                  <c:pt idx="1">
                    <c:v>51</c:v>
                  </c:pt>
                  <c:pt idx="2">
                    <c:v>50</c:v>
                  </c:pt>
                  <c:pt idx="3">
                    <c:v>50</c:v>
                  </c:pt>
                  <c:pt idx="4">
                    <c:v>75</c:v>
                  </c:pt>
                  <c:pt idx="5">
                    <c:v>75</c:v>
                  </c:pt>
                  <c:pt idx="6">
                    <c:v>75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138</c:v>
                  </c:pt>
                  <c:pt idx="12">
                    <c:v>163</c:v>
                  </c:pt>
                  <c:pt idx="13">
                    <c:v>417</c:v>
                  </c:pt>
                  <c:pt idx="14">
                    <c:v>20</c:v>
                  </c:pt>
                  <c:pt idx="15">
                    <c:v>38</c:v>
                  </c:pt>
                  <c:pt idx="16">
                    <c:v>56</c:v>
                  </c:pt>
                  <c:pt idx="17">
                    <c:v>40</c:v>
                  </c:pt>
                  <c:pt idx="18">
                    <c:v>76</c:v>
                  </c:pt>
                  <c:pt idx="19">
                    <c:v>112</c:v>
                  </c:pt>
                  <c:pt idx="20">
                    <c:v>184</c:v>
                  </c:pt>
                  <c:pt idx="21">
                    <c:v>60</c:v>
                  </c:pt>
                  <c:pt idx="22">
                    <c:v>114</c:v>
                  </c:pt>
                  <c:pt idx="23">
                    <c:v>168</c:v>
                  </c:pt>
                  <c:pt idx="24">
                    <c:v>51</c:v>
                  </c:pt>
                  <c:pt idx="25">
                    <c:v>51</c:v>
                  </c:pt>
                  <c:pt idx="26">
                    <c:v>51</c:v>
                  </c:pt>
                  <c:pt idx="27">
                    <c:v>102</c:v>
                  </c:pt>
                  <c:pt idx="28">
                    <c:v>102</c:v>
                  </c:pt>
                  <c:pt idx="29">
                    <c:v>102</c:v>
                  </c:pt>
                  <c:pt idx="30">
                    <c:v>153</c:v>
                  </c:pt>
                  <c:pt idx="31">
                    <c:v>153</c:v>
                  </c:pt>
                  <c:pt idx="32">
                    <c:v>153</c:v>
                  </c:pt>
                </c:lvl>
                <c:lvl>
                  <c:pt idx="0">
                    <c:v>vehicles</c:v>
                  </c:pt>
                  <c:pt idx="1">
                    <c:v>3</c:v>
                  </c:pt>
                  <c:pt idx="2">
                    <c:v>3</c:v>
                  </c:pt>
                  <c:pt idx="3">
                    <c:v>1</c:v>
                  </c:pt>
                  <c:pt idx="4">
                    <c:v>5</c:v>
                  </c:pt>
                  <c:pt idx="5">
                    <c:v>6</c:v>
                  </c:pt>
                  <c:pt idx="6">
                    <c:v>1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4</c:v>
                  </c:pt>
                  <c:pt idx="11">
                    <c:v>4</c:v>
                  </c:pt>
                  <c:pt idx="12">
                    <c:v>3</c:v>
                  </c:pt>
                  <c:pt idx="13">
                    <c:v>9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9</c:v>
                  </c:pt>
                  <c:pt idx="31">
                    <c:v>9</c:v>
                  </c:pt>
                  <c:pt idx="32">
                    <c:v>9</c:v>
                  </c:pt>
                </c:lvl>
                <c:lvl>
                  <c:pt idx="0">
                    <c:v>instance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</c:lvl>
              </c:multiLvlStrCache>
            </c:multiLvlStrRef>
          </c:cat>
          <c:val>
            <c:numRef>
              <c:f>Sheet1!$Q$2:$Q$34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7A1-48A9-B73F-A0C27F4D6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624543"/>
        <c:axId val="321631743"/>
      </c:barChart>
      <c:catAx>
        <c:axId val="32162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31743"/>
        <c:crosses val="autoZero"/>
        <c:auto val="1"/>
        <c:lblAlgn val="ctr"/>
        <c:lblOffset val="100"/>
        <c:noMultiLvlLbl val="0"/>
      </c:catAx>
      <c:valAx>
        <c:axId val="32163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2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5FC74C-E2FF-4157-AF2A-9BA540FAC318}">
  <sheetPr/>
  <sheetViews>
    <sheetView zoomScale="1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4656667" cy="30453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6C6EC-5641-E5F0-F890-F5A48E2CD0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topLeftCell="A2" zoomScale="83" workbookViewId="0">
      <pane xSplit="1" topLeftCell="E1" activePane="topRight" state="frozen"/>
      <selection pane="topRight" activeCell="A4" sqref="A4"/>
    </sheetView>
  </sheetViews>
  <sheetFormatPr defaultRowHeight="15" x14ac:dyDescent="0.25"/>
  <cols>
    <col min="6" max="8" width="13.7109375" customWidth="1"/>
    <col min="19" max="20" width="13.7109375" customWidth="1"/>
    <col min="22" max="25" width="13.7109375" customWidth="1"/>
  </cols>
  <sheetData>
    <row r="1" spans="1:28" ht="30" customHeight="1" x14ac:dyDescent="0.25">
      <c r="A1" s="35"/>
      <c r="B1" s="36"/>
      <c r="C1" s="36"/>
      <c r="D1" s="36"/>
      <c r="E1" s="36"/>
      <c r="F1" s="37" t="s">
        <v>58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S1" s="38" t="s">
        <v>57</v>
      </c>
      <c r="T1" s="38"/>
    </row>
    <row r="2" spans="1:28" x14ac:dyDescent="0.25">
      <c r="A2" s="32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4" t="s">
        <v>5</v>
      </c>
      <c r="G2" s="34" t="s">
        <v>6</v>
      </c>
      <c r="H2" s="34" t="s">
        <v>7</v>
      </c>
      <c r="I2" s="33" t="s">
        <v>8</v>
      </c>
      <c r="J2" s="33" t="s">
        <v>9</v>
      </c>
      <c r="K2" s="33" t="s">
        <v>10</v>
      </c>
      <c r="L2" s="33" t="s">
        <v>11</v>
      </c>
      <c r="M2" s="33" t="s">
        <v>12</v>
      </c>
      <c r="N2" s="33" t="s">
        <v>13</v>
      </c>
      <c r="O2" s="33" t="s">
        <v>14</v>
      </c>
      <c r="P2" s="33" t="s">
        <v>15</v>
      </c>
      <c r="Q2" s="33" t="s">
        <v>16</v>
      </c>
      <c r="S2" s="31" t="s">
        <v>6</v>
      </c>
      <c r="T2" s="31" t="s">
        <v>7</v>
      </c>
      <c r="V2" s="12" t="s">
        <v>49</v>
      </c>
      <c r="W2" s="4" t="s">
        <v>50</v>
      </c>
      <c r="X2" s="5" t="s">
        <v>51</v>
      </c>
      <c r="Y2" s="1" t="s">
        <v>52</v>
      </c>
      <c r="AA2" s="1" t="s">
        <v>55</v>
      </c>
      <c r="AB2" s="1" t="s">
        <v>56</v>
      </c>
    </row>
    <row r="3" spans="1:28" x14ac:dyDescent="0.25">
      <c r="A3" s="11" t="s">
        <v>17</v>
      </c>
      <c r="B3">
        <v>3</v>
      </c>
      <c r="C3">
        <v>51</v>
      </c>
      <c r="D3">
        <v>2</v>
      </c>
      <c r="E3">
        <v>160</v>
      </c>
      <c r="F3" s="2">
        <v>699.94207123913566</v>
      </c>
      <c r="G3" s="2">
        <v>584.69349884827034</v>
      </c>
      <c r="H3" s="2">
        <v>30.078125</v>
      </c>
      <c r="I3">
        <v>4</v>
      </c>
      <c r="J3">
        <v>500</v>
      </c>
      <c r="K3">
        <v>7200</v>
      </c>
      <c r="L3">
        <v>7200</v>
      </c>
      <c r="M3">
        <v>0</v>
      </c>
      <c r="N3">
        <v>0</v>
      </c>
      <c r="O3">
        <v>0</v>
      </c>
      <c r="P3">
        <v>4</v>
      </c>
      <c r="Q3">
        <v>1</v>
      </c>
      <c r="S3" s="3">
        <v>599.81795982436461</v>
      </c>
      <c r="T3" s="3">
        <v>15.390625</v>
      </c>
      <c r="V3" s="10">
        <v>524.61</v>
      </c>
      <c r="W3" s="2">
        <f>(G3*100)/$V3-100</f>
        <v>11.452983901997726</v>
      </c>
      <c r="X3" s="3">
        <f>(S3*100)/$V3-100</f>
        <v>14.33597526245488</v>
      </c>
      <c r="Y3" s="6">
        <f>X3-W3</f>
        <v>2.8829913604571544</v>
      </c>
      <c r="AA3" s="28">
        <f>IF(Y3&gt;0,G3,S3)</f>
        <v>584.69349884827034</v>
      </c>
      <c r="AB3" s="27">
        <f>(AA3*100)/$V3-100</f>
        <v>11.452983901997726</v>
      </c>
    </row>
    <row r="4" spans="1:28" ht="15.75" thickBot="1" x14ac:dyDescent="0.3">
      <c r="A4" s="11" t="s">
        <v>18</v>
      </c>
      <c r="B4">
        <v>3</v>
      </c>
      <c r="C4">
        <v>50</v>
      </c>
      <c r="D4">
        <v>5</v>
      </c>
      <c r="E4">
        <v>160</v>
      </c>
      <c r="F4" s="2">
        <v>1806.0337130867761</v>
      </c>
      <c r="G4" s="2">
        <v>1546.300299177055</v>
      </c>
      <c r="H4" s="2">
        <v>93.09375</v>
      </c>
      <c r="I4">
        <v>4</v>
      </c>
      <c r="J4">
        <v>500</v>
      </c>
      <c r="K4">
        <v>7200</v>
      </c>
      <c r="L4">
        <v>7200</v>
      </c>
      <c r="M4">
        <v>17</v>
      </c>
      <c r="N4">
        <v>5</v>
      </c>
      <c r="O4">
        <v>4</v>
      </c>
      <c r="P4">
        <v>3</v>
      </c>
      <c r="Q4">
        <v>0</v>
      </c>
      <c r="S4" s="3">
        <v>1553.535876004692</v>
      </c>
      <c r="T4" s="3">
        <v>51.59375</v>
      </c>
      <c r="V4" s="10">
        <v>1322.87</v>
      </c>
      <c r="W4" s="2">
        <f t="shared" ref="W4:W34" si="0">(G4*100)/$V4-100</f>
        <v>16.88981526355991</v>
      </c>
      <c r="X4" s="3">
        <f t="shared" ref="X4:X34" si="1">(S4*100)/$V4-100</f>
        <v>17.436775798430105</v>
      </c>
      <c r="Y4" s="6">
        <f t="shared" ref="Y4:Y34" si="2">X4-W4</f>
        <v>0.54696053487019469</v>
      </c>
      <c r="AA4" s="28">
        <f t="shared" ref="AA4:AA34" si="3">IF(Y4&gt;0,G4,S4)</f>
        <v>1546.300299177055</v>
      </c>
      <c r="AB4" s="27">
        <f t="shared" ref="AB4:AB34" si="4">(AA4*100)/$V4-100</f>
        <v>16.88981526355991</v>
      </c>
    </row>
    <row r="5" spans="1:28" ht="15.75" thickBot="1" x14ac:dyDescent="0.3">
      <c r="A5" s="11" t="s">
        <v>19</v>
      </c>
      <c r="B5">
        <v>1</v>
      </c>
      <c r="C5">
        <v>50</v>
      </c>
      <c r="D5">
        <v>5</v>
      </c>
      <c r="E5">
        <v>160</v>
      </c>
      <c r="F5" s="2">
        <v>707.71782597313984</v>
      </c>
      <c r="G5" s="2">
        <v>631.5644526152646</v>
      </c>
      <c r="H5" s="2">
        <v>6.921875</v>
      </c>
      <c r="I5">
        <v>1</v>
      </c>
      <c r="J5">
        <v>500</v>
      </c>
      <c r="K5">
        <v>7200</v>
      </c>
      <c r="L5">
        <v>7200</v>
      </c>
      <c r="M5">
        <v>0</v>
      </c>
      <c r="N5">
        <v>0</v>
      </c>
      <c r="O5">
        <v>0</v>
      </c>
      <c r="P5" s="25">
        <v>0</v>
      </c>
      <c r="Q5">
        <v>0</v>
      </c>
      <c r="S5" s="3">
        <v>631.5644526152646</v>
      </c>
      <c r="T5" s="3">
        <v>5.546875</v>
      </c>
      <c r="V5" s="10">
        <v>524.61</v>
      </c>
      <c r="W5" s="2">
        <f t="shared" si="0"/>
        <v>20.387421630404418</v>
      </c>
      <c r="X5" s="3">
        <f t="shared" si="1"/>
        <v>20.387421630404418</v>
      </c>
      <c r="Y5">
        <f t="shared" si="2"/>
        <v>0</v>
      </c>
      <c r="AA5" s="28">
        <f t="shared" si="3"/>
        <v>631.5644526152646</v>
      </c>
      <c r="AB5" s="27">
        <f t="shared" si="4"/>
        <v>20.387421630404418</v>
      </c>
    </row>
    <row r="6" spans="1:28" x14ac:dyDescent="0.25">
      <c r="A6" s="11" t="s">
        <v>20</v>
      </c>
      <c r="B6">
        <v>5</v>
      </c>
      <c r="C6">
        <v>75</v>
      </c>
      <c r="D6">
        <v>2</v>
      </c>
      <c r="E6">
        <v>140</v>
      </c>
      <c r="F6" s="2">
        <v>1191.564504632046</v>
      </c>
      <c r="G6" s="2">
        <v>963.71730816416539</v>
      </c>
      <c r="H6" s="2">
        <v>188.265625</v>
      </c>
      <c r="I6">
        <v>4</v>
      </c>
      <c r="J6">
        <v>500</v>
      </c>
      <c r="K6">
        <v>7200</v>
      </c>
      <c r="L6">
        <v>7200</v>
      </c>
      <c r="M6">
        <v>0</v>
      </c>
      <c r="N6">
        <v>2</v>
      </c>
      <c r="O6">
        <v>2</v>
      </c>
      <c r="P6">
        <v>12</v>
      </c>
      <c r="Q6">
        <v>1</v>
      </c>
      <c r="S6" s="3">
        <v>993.40814169373516</v>
      </c>
      <c r="T6" s="3">
        <v>95.015625</v>
      </c>
      <c r="V6" s="10">
        <v>835.43</v>
      </c>
      <c r="W6" s="2">
        <f t="shared" si="0"/>
        <v>15.355841682027872</v>
      </c>
      <c r="X6" s="3">
        <f t="shared" si="1"/>
        <v>18.909799946582609</v>
      </c>
      <c r="Y6" s="6">
        <f t="shared" si="2"/>
        <v>3.553958264554737</v>
      </c>
      <c r="AA6" s="28">
        <f t="shared" si="3"/>
        <v>963.71730816416539</v>
      </c>
      <c r="AB6" s="27">
        <f t="shared" si="4"/>
        <v>15.355841682027872</v>
      </c>
    </row>
    <row r="7" spans="1:28" x14ac:dyDescent="0.25">
      <c r="A7" s="11" t="s">
        <v>21</v>
      </c>
      <c r="B7">
        <v>6</v>
      </c>
      <c r="C7">
        <v>75</v>
      </c>
      <c r="D7">
        <v>5</v>
      </c>
      <c r="E7">
        <v>140</v>
      </c>
      <c r="F7" s="2">
        <v>2803.0667370561068</v>
      </c>
      <c r="G7" s="2">
        <v>2443.330791269967</v>
      </c>
      <c r="H7" s="2">
        <v>160.71875</v>
      </c>
      <c r="I7">
        <v>4</v>
      </c>
      <c r="J7">
        <v>500</v>
      </c>
      <c r="K7">
        <v>7200</v>
      </c>
      <c r="L7">
        <v>7200</v>
      </c>
      <c r="M7">
        <v>10</v>
      </c>
      <c r="N7">
        <v>1</v>
      </c>
      <c r="O7">
        <v>11</v>
      </c>
      <c r="P7">
        <v>1</v>
      </c>
      <c r="Q7">
        <v>0</v>
      </c>
      <c r="S7" s="3">
        <v>2473.815931555841</v>
      </c>
      <c r="T7" s="3">
        <v>74.09375</v>
      </c>
      <c r="V7" s="10">
        <v>2027.99</v>
      </c>
      <c r="W7" s="2">
        <f t="shared" si="0"/>
        <v>20.480416139624296</v>
      </c>
      <c r="X7" s="3">
        <f t="shared" si="1"/>
        <v>21.98363559760358</v>
      </c>
      <c r="Y7" s="6">
        <f t="shared" si="2"/>
        <v>1.5032194579792844</v>
      </c>
      <c r="AA7" s="28">
        <f t="shared" si="3"/>
        <v>2443.330791269967</v>
      </c>
      <c r="AB7" s="27">
        <f t="shared" si="4"/>
        <v>20.480416139624296</v>
      </c>
    </row>
    <row r="8" spans="1:28" x14ac:dyDescent="0.25">
      <c r="A8" s="11" t="s">
        <v>22</v>
      </c>
      <c r="B8">
        <v>1</v>
      </c>
      <c r="C8">
        <v>75</v>
      </c>
      <c r="D8">
        <v>10</v>
      </c>
      <c r="E8">
        <v>140</v>
      </c>
      <c r="F8" s="2">
        <v>1202.7378153136131</v>
      </c>
      <c r="G8" s="2">
        <v>972.10478291269419</v>
      </c>
      <c r="H8" s="2">
        <v>21.171875</v>
      </c>
      <c r="I8">
        <v>1</v>
      </c>
      <c r="J8">
        <v>500</v>
      </c>
      <c r="K8">
        <v>7200</v>
      </c>
      <c r="L8">
        <v>7200</v>
      </c>
      <c r="M8">
        <v>0</v>
      </c>
      <c r="N8">
        <v>8</v>
      </c>
      <c r="O8">
        <v>0</v>
      </c>
      <c r="P8">
        <v>0</v>
      </c>
      <c r="Q8">
        <v>0</v>
      </c>
      <c r="S8" s="3">
        <v>987.43847020148849</v>
      </c>
      <c r="T8" s="3">
        <v>12.75</v>
      </c>
      <c r="V8" s="10">
        <v>836.37</v>
      </c>
      <c r="W8" s="2">
        <f t="shared" si="0"/>
        <v>16.229035344727123</v>
      </c>
      <c r="X8" s="3">
        <f t="shared" si="1"/>
        <v>18.062397049330855</v>
      </c>
      <c r="Y8" s="6">
        <f t="shared" si="2"/>
        <v>1.8333617046037318</v>
      </c>
      <c r="AA8" s="28">
        <f t="shared" si="3"/>
        <v>972.10478291269419</v>
      </c>
      <c r="AB8" s="27">
        <f t="shared" si="4"/>
        <v>16.229035344727123</v>
      </c>
    </row>
    <row r="9" spans="1:28" ht="15.75" thickBot="1" x14ac:dyDescent="0.3">
      <c r="A9" s="11" t="s">
        <v>23</v>
      </c>
      <c r="B9">
        <v>4</v>
      </c>
      <c r="C9">
        <v>100</v>
      </c>
      <c r="D9">
        <v>2</v>
      </c>
      <c r="E9">
        <v>200</v>
      </c>
      <c r="F9" s="2">
        <v>1215.7122377784151</v>
      </c>
      <c r="G9" s="2">
        <v>997.58955401082881</v>
      </c>
      <c r="H9" s="2">
        <v>101.890625</v>
      </c>
      <c r="I9">
        <v>4</v>
      </c>
      <c r="J9">
        <v>500</v>
      </c>
      <c r="K9">
        <v>7200</v>
      </c>
      <c r="L9">
        <v>7200</v>
      </c>
      <c r="M9">
        <v>10</v>
      </c>
      <c r="N9">
        <v>4</v>
      </c>
      <c r="O9">
        <v>13</v>
      </c>
      <c r="P9">
        <v>1</v>
      </c>
      <c r="Q9">
        <v>0</v>
      </c>
      <c r="S9" s="3">
        <v>995.16413427229713</v>
      </c>
      <c r="T9" s="3">
        <v>64.90625</v>
      </c>
      <c r="V9" s="10">
        <v>826.14</v>
      </c>
      <c r="W9" s="2">
        <f t="shared" si="0"/>
        <v>20.753087129400456</v>
      </c>
      <c r="X9" s="3">
        <f t="shared" si="1"/>
        <v>20.459502538588751</v>
      </c>
      <c r="Y9" s="7">
        <f t="shared" si="2"/>
        <v>-0.29358459081170452</v>
      </c>
      <c r="AA9" s="28">
        <f t="shared" si="3"/>
        <v>995.16413427229713</v>
      </c>
      <c r="AB9" s="27">
        <f t="shared" si="4"/>
        <v>20.459502538588751</v>
      </c>
    </row>
    <row r="10" spans="1:28" ht="15.75" thickBot="1" x14ac:dyDescent="0.3">
      <c r="A10" s="11" t="s">
        <v>24</v>
      </c>
      <c r="B10">
        <v>5</v>
      </c>
      <c r="C10">
        <v>100</v>
      </c>
      <c r="D10">
        <v>5</v>
      </c>
      <c r="E10">
        <v>200</v>
      </c>
      <c r="F10" s="2">
        <v>2739.4842456620681</v>
      </c>
      <c r="G10" s="2">
        <v>2506.1831121408818</v>
      </c>
      <c r="H10" s="2">
        <v>291.53125</v>
      </c>
      <c r="I10">
        <v>4</v>
      </c>
      <c r="J10">
        <v>500</v>
      </c>
      <c r="K10">
        <v>7200</v>
      </c>
      <c r="L10">
        <v>7200</v>
      </c>
      <c r="M10" s="19">
        <v>63</v>
      </c>
      <c r="N10" s="20">
        <v>7</v>
      </c>
      <c r="O10" s="20">
        <v>18</v>
      </c>
      <c r="P10" s="26">
        <v>1</v>
      </c>
      <c r="Q10" s="21">
        <v>0</v>
      </c>
      <c r="S10" s="3">
        <v>2619.150502119136</v>
      </c>
      <c r="T10" s="3">
        <v>54.765625</v>
      </c>
      <c r="V10" s="10">
        <v>2034.15</v>
      </c>
      <c r="W10" s="2">
        <f t="shared" si="0"/>
        <v>23.205423009162629</v>
      </c>
      <c r="X10" s="3">
        <f t="shared" si="1"/>
        <v>28.758965765510709</v>
      </c>
      <c r="Y10" s="8">
        <f t="shared" si="2"/>
        <v>5.5535427563480795</v>
      </c>
      <c r="AA10" s="28">
        <f t="shared" si="3"/>
        <v>2506.1831121408818</v>
      </c>
      <c r="AB10" s="27">
        <f t="shared" si="4"/>
        <v>23.205423009162629</v>
      </c>
    </row>
    <row r="11" spans="1:28" ht="15.75" thickBot="1" x14ac:dyDescent="0.3">
      <c r="A11" s="11" t="s">
        <v>25</v>
      </c>
      <c r="B11">
        <v>1</v>
      </c>
      <c r="C11">
        <v>100</v>
      </c>
      <c r="D11">
        <v>8</v>
      </c>
      <c r="E11">
        <v>200</v>
      </c>
      <c r="F11" s="2">
        <v>1212.110570350635</v>
      </c>
      <c r="G11" s="2">
        <v>971.59881465973649</v>
      </c>
      <c r="H11" s="2">
        <v>15.359375</v>
      </c>
      <c r="I11">
        <v>1</v>
      </c>
      <c r="J11">
        <v>500</v>
      </c>
      <c r="K11">
        <v>7200</v>
      </c>
      <c r="L11">
        <v>7200</v>
      </c>
      <c r="M11">
        <v>0</v>
      </c>
      <c r="N11">
        <v>0</v>
      </c>
      <c r="O11">
        <v>0</v>
      </c>
      <c r="P11" s="25">
        <v>0</v>
      </c>
      <c r="Q11">
        <v>0</v>
      </c>
      <c r="S11" s="3">
        <v>971.59881465973649</v>
      </c>
      <c r="T11" s="3">
        <v>13.25</v>
      </c>
      <c r="V11" s="10">
        <v>826.14</v>
      </c>
      <c r="W11" s="2">
        <f t="shared" si="0"/>
        <v>17.607041743498257</v>
      </c>
      <c r="X11" s="3">
        <f t="shared" si="1"/>
        <v>17.607041743498257</v>
      </c>
      <c r="Y11">
        <f t="shared" si="2"/>
        <v>0</v>
      </c>
      <c r="AA11" s="28">
        <f t="shared" si="3"/>
        <v>971.59881465973649</v>
      </c>
      <c r="AB11" s="27">
        <f t="shared" si="4"/>
        <v>17.607041743498257</v>
      </c>
    </row>
    <row r="12" spans="1:28" x14ac:dyDescent="0.25">
      <c r="A12" s="11" t="s">
        <v>26</v>
      </c>
      <c r="B12">
        <v>4</v>
      </c>
      <c r="C12">
        <v>100</v>
      </c>
      <c r="D12">
        <v>5</v>
      </c>
      <c r="E12">
        <v>200</v>
      </c>
      <c r="F12" s="2">
        <v>2325.542031937076</v>
      </c>
      <c r="G12" s="2">
        <v>2023.7346463817701</v>
      </c>
      <c r="H12" s="2">
        <v>233.453125</v>
      </c>
      <c r="I12">
        <v>4</v>
      </c>
      <c r="J12">
        <v>500</v>
      </c>
      <c r="K12">
        <v>7200</v>
      </c>
      <c r="L12">
        <v>7200</v>
      </c>
      <c r="M12">
        <v>39</v>
      </c>
      <c r="N12">
        <v>2</v>
      </c>
      <c r="O12">
        <v>11</v>
      </c>
      <c r="P12">
        <v>2</v>
      </c>
      <c r="Q12">
        <v>0</v>
      </c>
      <c r="S12" s="3">
        <v>1998.471501765664</v>
      </c>
      <c r="T12" s="3">
        <v>146.203125</v>
      </c>
      <c r="V12" s="10">
        <v>1595.84</v>
      </c>
      <c r="W12" s="2">
        <f t="shared" si="0"/>
        <v>26.813129535653346</v>
      </c>
      <c r="X12" s="3">
        <f t="shared" si="1"/>
        <v>25.230067034644094</v>
      </c>
      <c r="Y12" s="7">
        <f t="shared" si="2"/>
        <v>-1.5830625010092518</v>
      </c>
      <c r="AA12" s="28">
        <f t="shared" si="3"/>
        <v>1998.471501765664</v>
      </c>
      <c r="AB12" s="27">
        <f t="shared" si="4"/>
        <v>25.230067034644094</v>
      </c>
    </row>
    <row r="13" spans="1:28" ht="15.75" thickBot="1" x14ac:dyDescent="0.3">
      <c r="A13" s="11" t="s">
        <v>27</v>
      </c>
      <c r="B13">
        <v>4</v>
      </c>
      <c r="C13">
        <v>138</v>
      </c>
      <c r="D13">
        <v>5</v>
      </c>
      <c r="E13">
        <v>235</v>
      </c>
      <c r="F13" s="2">
        <v>1149.8347182885921</v>
      </c>
      <c r="G13" s="2">
        <v>954.03885837879</v>
      </c>
      <c r="H13" s="2">
        <v>615.234375</v>
      </c>
      <c r="I13">
        <v>4</v>
      </c>
      <c r="J13">
        <v>500</v>
      </c>
      <c r="K13">
        <v>7200</v>
      </c>
      <c r="L13">
        <v>7200</v>
      </c>
      <c r="M13">
        <v>15</v>
      </c>
      <c r="N13">
        <v>3</v>
      </c>
      <c r="O13">
        <v>6</v>
      </c>
      <c r="P13">
        <v>1</v>
      </c>
      <c r="Q13">
        <v>0</v>
      </c>
      <c r="S13" s="3">
        <v>957.75124084835738</v>
      </c>
      <c r="T13" s="3">
        <v>536.40625</v>
      </c>
      <c r="V13" s="10">
        <v>779.29</v>
      </c>
      <c r="W13" s="2">
        <f t="shared" si="0"/>
        <v>22.424111483374617</v>
      </c>
      <c r="X13" s="3">
        <f t="shared" si="1"/>
        <v>22.900491581870355</v>
      </c>
      <c r="Y13" s="6">
        <f t="shared" si="2"/>
        <v>0.47638009849573848</v>
      </c>
      <c r="AA13" s="28">
        <f t="shared" si="3"/>
        <v>954.03885837879</v>
      </c>
      <c r="AB13" s="27">
        <f t="shared" si="4"/>
        <v>22.424111483374617</v>
      </c>
    </row>
    <row r="14" spans="1:28" ht="15.75" thickBot="1" x14ac:dyDescent="0.3">
      <c r="A14" s="11" t="s">
        <v>28</v>
      </c>
      <c r="B14">
        <v>3</v>
      </c>
      <c r="C14">
        <v>163</v>
      </c>
      <c r="D14">
        <v>5</v>
      </c>
      <c r="E14">
        <v>140</v>
      </c>
      <c r="F14" s="2">
        <v>1746.675638572028</v>
      </c>
      <c r="G14" s="2">
        <v>1464.9216936947751</v>
      </c>
      <c r="H14" s="2">
        <v>691.609375</v>
      </c>
      <c r="I14">
        <v>4</v>
      </c>
      <c r="J14">
        <v>500</v>
      </c>
      <c r="K14">
        <v>7200</v>
      </c>
      <c r="L14">
        <v>7200</v>
      </c>
      <c r="M14" s="19">
        <v>69</v>
      </c>
      <c r="N14" s="20">
        <v>11</v>
      </c>
      <c r="O14" s="20">
        <v>42</v>
      </c>
      <c r="P14" s="20">
        <v>1</v>
      </c>
      <c r="Q14" s="21">
        <v>1</v>
      </c>
      <c r="S14" s="3">
        <v>1535.5589249924519</v>
      </c>
      <c r="T14" s="3">
        <v>353.53125</v>
      </c>
      <c r="V14" s="10">
        <v>1195.8800000000001</v>
      </c>
      <c r="W14" s="2">
        <f t="shared" si="0"/>
        <v>22.497382153290886</v>
      </c>
      <c r="X14" s="3">
        <f t="shared" si="1"/>
        <v>28.404097818547996</v>
      </c>
      <c r="Y14" s="8">
        <f t="shared" si="2"/>
        <v>5.90671566525711</v>
      </c>
      <c r="AA14" s="28">
        <f t="shared" si="3"/>
        <v>1464.9216936947751</v>
      </c>
      <c r="AB14" s="27">
        <f t="shared" si="4"/>
        <v>22.497382153290886</v>
      </c>
    </row>
    <row r="15" spans="1:28" ht="15.75" thickBot="1" x14ac:dyDescent="0.3">
      <c r="A15" s="11" t="s">
        <v>29</v>
      </c>
      <c r="B15">
        <v>9</v>
      </c>
      <c r="C15">
        <v>417</v>
      </c>
      <c r="D15">
        <v>7</v>
      </c>
      <c r="E15">
        <v>2000</v>
      </c>
      <c r="F15" s="2">
        <v>6334.1302932916942</v>
      </c>
      <c r="G15" s="2">
        <v>4981.4156732220272</v>
      </c>
      <c r="H15" s="2">
        <v>14431.28125</v>
      </c>
      <c r="I15">
        <v>4</v>
      </c>
      <c r="J15">
        <v>500</v>
      </c>
      <c r="K15">
        <v>7200</v>
      </c>
      <c r="L15">
        <v>7200</v>
      </c>
      <c r="M15" s="19">
        <v>46</v>
      </c>
      <c r="N15" s="20">
        <v>62</v>
      </c>
      <c r="O15" s="20">
        <v>48</v>
      </c>
      <c r="P15" s="20">
        <v>2</v>
      </c>
      <c r="Q15" s="21">
        <v>0</v>
      </c>
      <c r="S15" s="3">
        <v>5363.9203042463114</v>
      </c>
      <c r="T15" s="3">
        <v>7232.8125</v>
      </c>
      <c r="V15" s="10">
        <v>3511.62</v>
      </c>
      <c r="W15" s="2">
        <f t="shared" si="0"/>
        <v>41.855202818699837</v>
      </c>
      <c r="X15" s="3">
        <f t="shared" si="1"/>
        <v>52.74774332776073</v>
      </c>
      <c r="Y15" s="8">
        <f t="shared" si="2"/>
        <v>10.892540509060893</v>
      </c>
      <c r="AA15" s="28">
        <f t="shared" si="3"/>
        <v>4981.4156732220272</v>
      </c>
      <c r="AB15" s="27">
        <f t="shared" si="4"/>
        <v>41.855202818699837</v>
      </c>
    </row>
    <row r="16" spans="1:28" ht="15.75" thickBot="1" x14ac:dyDescent="0.3">
      <c r="A16" s="11" t="s">
        <v>30</v>
      </c>
      <c r="B16">
        <v>2</v>
      </c>
      <c r="C16">
        <v>20</v>
      </c>
      <c r="D16">
        <v>4</v>
      </c>
      <c r="E16">
        <v>20</v>
      </c>
      <c r="F16" s="2">
        <v>954.80711889752502</v>
      </c>
      <c r="G16" s="2">
        <v>965.25776824586569</v>
      </c>
      <c r="H16" s="2">
        <v>10.9375</v>
      </c>
      <c r="I16">
        <v>4</v>
      </c>
      <c r="J16">
        <v>500</v>
      </c>
      <c r="K16">
        <v>7200</v>
      </c>
      <c r="L16">
        <v>7200</v>
      </c>
      <c r="M16">
        <v>3</v>
      </c>
      <c r="N16">
        <v>0</v>
      </c>
      <c r="O16">
        <v>2</v>
      </c>
      <c r="P16">
        <v>1</v>
      </c>
      <c r="Q16">
        <v>0</v>
      </c>
      <c r="S16" s="3">
        <v>954.80711889752502</v>
      </c>
      <c r="T16" s="3">
        <v>2.71875</v>
      </c>
      <c r="V16" s="10">
        <v>954.81</v>
      </c>
      <c r="W16" s="2">
        <f t="shared" si="0"/>
        <v>1.0942248453478527</v>
      </c>
      <c r="X16" s="3">
        <f t="shared" si="1"/>
        <v>-3.0174615629618984E-4</v>
      </c>
      <c r="Y16" s="7">
        <f t="shared" si="2"/>
        <v>-1.0945265915041489</v>
      </c>
      <c r="AA16" s="28">
        <f t="shared" si="3"/>
        <v>954.80711889752502</v>
      </c>
      <c r="AB16" s="27">
        <f t="shared" si="4"/>
        <v>-3.0174615629618984E-4</v>
      </c>
    </row>
    <row r="17" spans="1:28" ht="15.75" thickBot="1" x14ac:dyDescent="0.3">
      <c r="A17" s="11" t="s">
        <v>31</v>
      </c>
      <c r="B17">
        <v>2</v>
      </c>
      <c r="C17">
        <v>38</v>
      </c>
      <c r="D17">
        <v>4</v>
      </c>
      <c r="E17">
        <v>30</v>
      </c>
      <c r="F17" s="2">
        <v>1899.885733385785</v>
      </c>
      <c r="G17" s="2">
        <v>2006.869145934322</v>
      </c>
      <c r="H17" s="2">
        <v>9.765625</v>
      </c>
      <c r="I17">
        <v>4</v>
      </c>
      <c r="J17">
        <v>500</v>
      </c>
      <c r="K17">
        <v>7200</v>
      </c>
      <c r="L17">
        <v>7200</v>
      </c>
      <c r="M17" s="22">
        <v>0</v>
      </c>
      <c r="N17" s="23">
        <v>0</v>
      </c>
      <c r="O17" s="23">
        <v>2</v>
      </c>
      <c r="P17" s="23">
        <v>1</v>
      </c>
      <c r="Q17" s="24">
        <v>0</v>
      </c>
      <c r="S17" s="3">
        <v>1899.885733385785</v>
      </c>
      <c r="T17" s="3">
        <v>2.515625</v>
      </c>
      <c r="V17" s="10">
        <v>1862.63</v>
      </c>
      <c r="W17" s="2">
        <f t="shared" si="0"/>
        <v>7.7438431644675347</v>
      </c>
      <c r="X17" s="3">
        <f t="shared" si="1"/>
        <v>2.0001682237365941</v>
      </c>
      <c r="Y17" s="9">
        <f t="shared" si="2"/>
        <v>-5.7436749407309406</v>
      </c>
      <c r="AA17" s="28">
        <f t="shared" si="3"/>
        <v>1899.885733385785</v>
      </c>
      <c r="AB17" s="27">
        <f t="shared" si="4"/>
        <v>2.0001682237365941</v>
      </c>
    </row>
    <row r="18" spans="1:28" x14ac:dyDescent="0.25">
      <c r="A18" s="11" t="s">
        <v>32</v>
      </c>
      <c r="B18">
        <v>2</v>
      </c>
      <c r="C18">
        <v>56</v>
      </c>
      <c r="D18">
        <v>4</v>
      </c>
      <c r="E18">
        <v>40</v>
      </c>
      <c r="F18" s="2">
        <v>3201.1465251106042</v>
      </c>
      <c r="G18" s="2">
        <v>3179.0510337214159</v>
      </c>
      <c r="H18" s="2">
        <v>18.125</v>
      </c>
      <c r="I18">
        <v>4</v>
      </c>
      <c r="J18">
        <v>500</v>
      </c>
      <c r="K18">
        <v>7200</v>
      </c>
      <c r="L18">
        <v>7200</v>
      </c>
      <c r="M18">
        <v>2</v>
      </c>
      <c r="N18">
        <v>0</v>
      </c>
      <c r="O18">
        <v>2</v>
      </c>
      <c r="P18">
        <v>1</v>
      </c>
      <c r="Q18">
        <v>0</v>
      </c>
      <c r="S18" s="3">
        <v>3179.0510337214159</v>
      </c>
      <c r="T18" s="3">
        <v>5.28125</v>
      </c>
      <c r="V18" s="10">
        <v>2875.24</v>
      </c>
      <c r="W18" s="2">
        <f t="shared" si="0"/>
        <v>10.566458233796695</v>
      </c>
      <c r="X18" s="3">
        <f t="shared" si="1"/>
        <v>10.566458233796695</v>
      </c>
      <c r="Y18">
        <f t="shared" si="2"/>
        <v>0</v>
      </c>
      <c r="AA18" s="28">
        <f t="shared" si="3"/>
        <v>3179.0510337214159</v>
      </c>
      <c r="AB18" s="27">
        <f t="shared" si="4"/>
        <v>10.566458233796695</v>
      </c>
    </row>
    <row r="19" spans="1:28" x14ac:dyDescent="0.25">
      <c r="A19" s="11" t="s">
        <v>33</v>
      </c>
      <c r="B19">
        <v>4</v>
      </c>
      <c r="C19">
        <v>40</v>
      </c>
      <c r="D19">
        <v>4</v>
      </c>
      <c r="E19">
        <v>20</v>
      </c>
      <c r="F19" s="2">
        <v>1703.872161915519</v>
      </c>
      <c r="G19" s="2">
        <v>1763.4618563602039</v>
      </c>
      <c r="H19" s="2">
        <v>31.296875</v>
      </c>
      <c r="I19">
        <v>4</v>
      </c>
      <c r="J19">
        <v>500</v>
      </c>
      <c r="K19">
        <v>7200</v>
      </c>
      <c r="L19">
        <v>7200</v>
      </c>
      <c r="M19">
        <v>17</v>
      </c>
      <c r="N19">
        <v>1</v>
      </c>
      <c r="O19">
        <v>5</v>
      </c>
      <c r="P19">
        <v>1</v>
      </c>
      <c r="Q19">
        <v>0</v>
      </c>
      <c r="S19" s="3">
        <v>1703.872161915519</v>
      </c>
      <c r="T19" s="3">
        <v>3.4375</v>
      </c>
      <c r="V19" s="10">
        <v>1597.75</v>
      </c>
      <c r="W19" s="2">
        <f t="shared" si="0"/>
        <v>10.371576051334927</v>
      </c>
      <c r="X19" s="3">
        <f t="shared" si="1"/>
        <v>6.6419753976228577</v>
      </c>
      <c r="Y19" s="7">
        <f t="shared" si="2"/>
        <v>-3.7296006537120689</v>
      </c>
      <c r="AA19" s="28">
        <f t="shared" si="3"/>
        <v>1703.872161915519</v>
      </c>
      <c r="AB19" s="27">
        <f t="shared" si="4"/>
        <v>6.6419753976228577</v>
      </c>
    </row>
    <row r="20" spans="1:28" x14ac:dyDescent="0.25">
      <c r="A20" s="11" t="s">
        <v>34</v>
      </c>
      <c r="B20">
        <v>4</v>
      </c>
      <c r="C20">
        <v>76</v>
      </c>
      <c r="D20">
        <v>4</v>
      </c>
      <c r="E20">
        <v>30</v>
      </c>
      <c r="F20" s="2">
        <v>3217.167440359513</v>
      </c>
      <c r="G20" s="2">
        <v>3311.2409222506449</v>
      </c>
      <c r="H20" s="2">
        <v>43.65625</v>
      </c>
      <c r="I20">
        <v>4</v>
      </c>
      <c r="J20">
        <v>500</v>
      </c>
      <c r="K20">
        <v>7200</v>
      </c>
      <c r="L20">
        <v>7200</v>
      </c>
      <c r="M20">
        <v>7</v>
      </c>
      <c r="N20">
        <v>3</v>
      </c>
      <c r="O20">
        <v>6</v>
      </c>
      <c r="P20">
        <v>1</v>
      </c>
      <c r="Q20">
        <v>0</v>
      </c>
      <c r="S20" s="3">
        <v>3217.167440359513</v>
      </c>
      <c r="T20" s="3">
        <v>3.015625</v>
      </c>
      <c r="V20" s="10">
        <v>3147.24</v>
      </c>
      <c r="W20" s="2">
        <f t="shared" si="0"/>
        <v>5.2109442638834338</v>
      </c>
      <c r="X20" s="3">
        <f t="shared" si="1"/>
        <v>2.2218655189789445</v>
      </c>
      <c r="Y20" s="7">
        <f t="shared" si="2"/>
        <v>-2.9890787449044893</v>
      </c>
      <c r="AA20" s="28">
        <f t="shared" si="3"/>
        <v>3217.167440359513</v>
      </c>
      <c r="AB20" s="27">
        <f t="shared" si="4"/>
        <v>2.2218655189789445</v>
      </c>
    </row>
    <row r="21" spans="1:28" x14ac:dyDescent="0.25">
      <c r="A21" s="11" t="s">
        <v>35</v>
      </c>
      <c r="B21">
        <v>4</v>
      </c>
      <c r="C21">
        <v>112</v>
      </c>
      <c r="D21">
        <v>4</v>
      </c>
      <c r="E21">
        <v>40</v>
      </c>
      <c r="F21" s="2">
        <v>4855.7678865271791</v>
      </c>
      <c r="G21" s="2">
        <v>4953.7552499289868</v>
      </c>
      <c r="H21" s="2">
        <v>19.859375</v>
      </c>
      <c r="I21">
        <v>4</v>
      </c>
      <c r="J21">
        <v>500</v>
      </c>
      <c r="K21">
        <v>7200</v>
      </c>
      <c r="L21">
        <v>7200</v>
      </c>
      <c r="M21">
        <v>7</v>
      </c>
      <c r="N21">
        <v>1</v>
      </c>
      <c r="O21">
        <v>0</v>
      </c>
      <c r="P21">
        <v>2</v>
      </c>
      <c r="Q21">
        <v>0</v>
      </c>
      <c r="S21" s="3">
        <v>4855.7678865271791</v>
      </c>
      <c r="T21" s="3">
        <v>4.203125</v>
      </c>
      <c r="V21" s="10">
        <v>4834.34</v>
      </c>
      <c r="W21" s="2">
        <f t="shared" si="0"/>
        <v>2.4701458715975093</v>
      </c>
      <c r="X21" s="3">
        <f t="shared" si="1"/>
        <v>0.44324326644751011</v>
      </c>
      <c r="Y21" s="7">
        <f t="shared" si="2"/>
        <v>-2.0269026051499992</v>
      </c>
      <c r="AA21" s="28">
        <f t="shared" si="3"/>
        <v>4855.7678865271791</v>
      </c>
      <c r="AB21" s="27">
        <f t="shared" si="4"/>
        <v>0.44324326644751011</v>
      </c>
    </row>
    <row r="22" spans="1:28" x14ac:dyDescent="0.25">
      <c r="A22" s="11" t="s">
        <v>36</v>
      </c>
      <c r="B22">
        <v>4</v>
      </c>
      <c r="C22">
        <v>184</v>
      </c>
      <c r="D22">
        <v>4</v>
      </c>
      <c r="E22">
        <v>60</v>
      </c>
      <c r="F22" s="2">
        <v>9441.6174868667931</v>
      </c>
      <c r="G22" s="2">
        <v>9650.9357767017973</v>
      </c>
      <c r="H22" s="2">
        <v>36.40625</v>
      </c>
      <c r="I22">
        <v>4</v>
      </c>
      <c r="J22">
        <v>500</v>
      </c>
      <c r="K22">
        <v>7200</v>
      </c>
      <c r="L22">
        <v>7200</v>
      </c>
      <c r="M22">
        <v>4</v>
      </c>
      <c r="N22">
        <v>0</v>
      </c>
      <c r="O22">
        <v>2</v>
      </c>
      <c r="P22">
        <v>1</v>
      </c>
      <c r="Q22">
        <v>0</v>
      </c>
      <c r="S22" s="3">
        <v>9441.6174868667931</v>
      </c>
      <c r="T22" s="3">
        <v>8.203125</v>
      </c>
      <c r="V22" s="10">
        <v>8367.4</v>
      </c>
      <c r="W22" s="2">
        <f t="shared" si="0"/>
        <v>15.339720542842443</v>
      </c>
      <c r="X22" s="3">
        <f t="shared" si="1"/>
        <v>12.838127576867279</v>
      </c>
      <c r="Y22" s="7">
        <f t="shared" si="2"/>
        <v>-2.5015929659751635</v>
      </c>
      <c r="AA22" s="28">
        <f t="shared" si="3"/>
        <v>9441.6174868667931</v>
      </c>
      <c r="AB22" s="27">
        <f t="shared" si="4"/>
        <v>12.838127576867279</v>
      </c>
    </row>
    <row r="23" spans="1:28" x14ac:dyDescent="0.25">
      <c r="A23" s="11" t="s">
        <v>37</v>
      </c>
      <c r="B23">
        <v>6</v>
      </c>
      <c r="C23">
        <v>60</v>
      </c>
      <c r="D23">
        <v>4</v>
      </c>
      <c r="E23">
        <v>20</v>
      </c>
      <c r="F23" s="2">
        <v>2476.4553897065998</v>
      </c>
      <c r="G23" s="2">
        <v>2479.3617946247891</v>
      </c>
      <c r="H23" s="2">
        <v>30.171875</v>
      </c>
      <c r="I23">
        <v>4</v>
      </c>
      <c r="J23">
        <v>500</v>
      </c>
      <c r="K23">
        <v>7200</v>
      </c>
      <c r="L23">
        <v>7200</v>
      </c>
      <c r="M23">
        <v>4</v>
      </c>
      <c r="N23">
        <v>0</v>
      </c>
      <c r="O23">
        <v>3</v>
      </c>
      <c r="P23">
        <v>1</v>
      </c>
      <c r="Q23">
        <v>0</v>
      </c>
      <c r="S23" s="3">
        <v>2476.4553897065998</v>
      </c>
      <c r="T23" s="3">
        <v>4.296875</v>
      </c>
      <c r="V23" s="10">
        <v>2184.04</v>
      </c>
      <c r="W23" s="2">
        <f t="shared" si="0"/>
        <v>13.521812541198372</v>
      </c>
      <c r="X23" s="3">
        <f t="shared" si="1"/>
        <v>13.38873783019541</v>
      </c>
      <c r="Y23" s="7">
        <f t="shared" si="2"/>
        <v>-0.13307471100296198</v>
      </c>
      <c r="AA23" s="28">
        <f t="shared" si="3"/>
        <v>2476.4553897065998</v>
      </c>
      <c r="AB23" s="27">
        <f t="shared" si="4"/>
        <v>13.38873783019541</v>
      </c>
    </row>
    <row r="24" spans="1:28" x14ac:dyDescent="0.25">
      <c r="A24" s="11" t="s">
        <v>38</v>
      </c>
      <c r="B24">
        <v>6</v>
      </c>
      <c r="C24">
        <v>114</v>
      </c>
      <c r="D24">
        <v>4</v>
      </c>
      <c r="E24">
        <v>30</v>
      </c>
      <c r="F24" s="2">
        <v>4608.9469410204683</v>
      </c>
      <c r="G24" s="2">
        <v>4745.7557418955239</v>
      </c>
      <c r="H24" s="2">
        <v>186.203125</v>
      </c>
      <c r="I24">
        <v>4</v>
      </c>
      <c r="J24">
        <v>500</v>
      </c>
      <c r="K24">
        <v>7200</v>
      </c>
      <c r="L24">
        <v>7200</v>
      </c>
      <c r="M24">
        <v>12</v>
      </c>
      <c r="N24">
        <v>1</v>
      </c>
      <c r="O24">
        <v>19</v>
      </c>
      <c r="P24">
        <v>2</v>
      </c>
      <c r="Q24">
        <v>0</v>
      </c>
      <c r="S24" s="3">
        <v>4608.9469410204683</v>
      </c>
      <c r="T24" s="3">
        <v>4.96875</v>
      </c>
      <c r="V24" s="10">
        <v>4271.1099999999997</v>
      </c>
      <c r="W24" s="2">
        <f t="shared" si="0"/>
        <v>11.112936494155491</v>
      </c>
      <c r="X24" s="3">
        <f t="shared" si="1"/>
        <v>7.9098159733762117</v>
      </c>
      <c r="Y24" s="7">
        <f t="shared" si="2"/>
        <v>-3.2031205207792794</v>
      </c>
      <c r="AA24" s="28">
        <f t="shared" si="3"/>
        <v>4608.9469410204683</v>
      </c>
      <c r="AB24" s="27">
        <f t="shared" si="4"/>
        <v>7.9098159733762117</v>
      </c>
    </row>
    <row r="25" spans="1:28" x14ac:dyDescent="0.25">
      <c r="A25" s="11" t="s">
        <v>39</v>
      </c>
      <c r="B25">
        <v>6</v>
      </c>
      <c r="C25">
        <v>168</v>
      </c>
      <c r="D25">
        <v>4</v>
      </c>
      <c r="E25">
        <v>40</v>
      </c>
      <c r="F25" s="2">
        <v>6836.8705930980686</v>
      </c>
      <c r="G25" s="2">
        <v>6989.604938603542</v>
      </c>
      <c r="H25" s="2">
        <v>18.140625</v>
      </c>
      <c r="I25">
        <v>4</v>
      </c>
      <c r="J25">
        <v>500</v>
      </c>
      <c r="K25">
        <v>7200</v>
      </c>
      <c r="L25">
        <v>7200</v>
      </c>
      <c r="M25">
        <v>0</v>
      </c>
      <c r="N25">
        <v>0</v>
      </c>
      <c r="O25">
        <v>1</v>
      </c>
      <c r="P25">
        <v>1</v>
      </c>
      <c r="Q25">
        <v>0</v>
      </c>
      <c r="S25" s="3">
        <v>6836.8705930980686</v>
      </c>
      <c r="T25" s="3">
        <v>7.171875</v>
      </c>
      <c r="V25" s="10">
        <v>6602.59</v>
      </c>
      <c r="W25" s="2">
        <f t="shared" si="0"/>
        <v>5.8615624868959202</v>
      </c>
      <c r="X25" s="3">
        <f t="shared" si="1"/>
        <v>3.5483135117896012</v>
      </c>
      <c r="Y25" s="7">
        <f t="shared" si="2"/>
        <v>-2.313248975106319</v>
      </c>
      <c r="AA25" s="28">
        <f t="shared" si="3"/>
        <v>6836.8705930980686</v>
      </c>
      <c r="AB25" s="27">
        <f t="shared" si="4"/>
        <v>3.5483135117896012</v>
      </c>
    </row>
    <row r="26" spans="1:28" x14ac:dyDescent="0.25">
      <c r="A26" s="11" t="s">
        <v>40</v>
      </c>
      <c r="B26">
        <v>3</v>
      </c>
      <c r="C26">
        <v>51</v>
      </c>
      <c r="D26">
        <v>6</v>
      </c>
      <c r="E26">
        <v>20</v>
      </c>
      <c r="F26" s="2">
        <v>5108.7119591551709</v>
      </c>
      <c r="G26" s="2">
        <v>4358.9890272077064</v>
      </c>
      <c r="H26" s="2">
        <v>104.21875</v>
      </c>
      <c r="I26">
        <v>4</v>
      </c>
      <c r="J26">
        <v>500</v>
      </c>
      <c r="K26">
        <v>7200</v>
      </c>
      <c r="L26">
        <v>7200</v>
      </c>
      <c r="M26">
        <v>13</v>
      </c>
      <c r="N26">
        <v>1</v>
      </c>
      <c r="O26">
        <v>3</v>
      </c>
      <c r="P26">
        <v>1</v>
      </c>
      <c r="Q26">
        <v>0</v>
      </c>
      <c r="S26" s="3">
        <v>4359.0199942098761</v>
      </c>
      <c r="T26" s="3">
        <v>64.78125</v>
      </c>
      <c r="V26" s="10">
        <v>3687.46</v>
      </c>
      <c r="W26" s="2">
        <f t="shared" si="0"/>
        <v>18.21115421476317</v>
      </c>
      <c r="X26" s="3">
        <f t="shared" si="1"/>
        <v>18.211994006982479</v>
      </c>
      <c r="Y26" s="6">
        <f t="shared" si="2"/>
        <v>8.397922193097429E-4</v>
      </c>
      <c r="AA26" s="28">
        <f t="shared" si="3"/>
        <v>4358.9890272077064</v>
      </c>
      <c r="AB26" s="27">
        <f t="shared" si="4"/>
        <v>18.21115421476317</v>
      </c>
    </row>
    <row r="27" spans="1:28" x14ac:dyDescent="0.25">
      <c r="A27" s="11" t="s">
        <v>41</v>
      </c>
      <c r="B27">
        <v>3</v>
      </c>
      <c r="C27">
        <v>51</v>
      </c>
      <c r="D27">
        <v>6</v>
      </c>
      <c r="E27">
        <v>20</v>
      </c>
      <c r="F27" s="2">
        <v>5108.7119591551709</v>
      </c>
      <c r="G27" s="2">
        <v>4358.9890272077064</v>
      </c>
      <c r="H27" s="2">
        <v>104.828125</v>
      </c>
      <c r="I27">
        <v>4</v>
      </c>
      <c r="J27">
        <v>500</v>
      </c>
      <c r="K27">
        <v>7200</v>
      </c>
      <c r="L27">
        <v>7200</v>
      </c>
      <c r="M27">
        <v>13</v>
      </c>
      <c r="N27">
        <v>1</v>
      </c>
      <c r="O27">
        <v>3</v>
      </c>
      <c r="P27">
        <v>1</v>
      </c>
      <c r="Q27">
        <v>0</v>
      </c>
      <c r="S27" s="3">
        <v>4359.0199942098761</v>
      </c>
      <c r="T27" s="3">
        <v>66.453125</v>
      </c>
      <c r="V27" s="10">
        <v>3777.15</v>
      </c>
      <c r="W27" s="2">
        <f t="shared" si="0"/>
        <v>15.404181120890257</v>
      </c>
      <c r="X27" s="3">
        <f t="shared" si="1"/>
        <v>15.405000971893514</v>
      </c>
      <c r="Y27" s="6">
        <f t="shared" si="2"/>
        <v>8.1985100325709936E-4</v>
      </c>
      <c r="AA27" s="28">
        <f t="shared" si="3"/>
        <v>4358.9890272077064</v>
      </c>
      <c r="AB27" s="27">
        <f t="shared" si="4"/>
        <v>15.404181120890257</v>
      </c>
    </row>
    <row r="28" spans="1:28" ht="15.75" thickBot="1" x14ac:dyDescent="0.3">
      <c r="A28" s="11" t="s">
        <v>42</v>
      </c>
      <c r="B28">
        <v>3</v>
      </c>
      <c r="C28">
        <v>51</v>
      </c>
      <c r="D28">
        <v>6</v>
      </c>
      <c r="E28">
        <v>20</v>
      </c>
      <c r="F28" s="2">
        <v>5095.5001427590814</v>
      </c>
      <c r="G28" s="2">
        <v>4435.8424195415664</v>
      </c>
      <c r="H28" s="2">
        <v>80.40625</v>
      </c>
      <c r="I28">
        <v>4</v>
      </c>
      <c r="J28">
        <v>500</v>
      </c>
      <c r="K28">
        <v>7200</v>
      </c>
      <c r="L28">
        <v>7200</v>
      </c>
      <c r="M28">
        <v>12</v>
      </c>
      <c r="N28">
        <v>3</v>
      </c>
      <c r="O28">
        <v>2</v>
      </c>
      <c r="P28">
        <v>1</v>
      </c>
      <c r="Q28">
        <v>0</v>
      </c>
      <c r="S28" s="3">
        <v>4430.2496809194881</v>
      </c>
      <c r="T28" s="3">
        <v>47.78125</v>
      </c>
      <c r="V28" s="10">
        <v>3795.33</v>
      </c>
      <c r="W28" s="2">
        <f t="shared" si="0"/>
        <v>16.876330109412535</v>
      </c>
      <c r="X28" s="3">
        <f t="shared" si="1"/>
        <v>16.728971681500383</v>
      </c>
      <c r="Y28" s="7">
        <f t="shared" si="2"/>
        <v>-0.14735842791215248</v>
      </c>
      <c r="AA28" s="28">
        <f t="shared" si="3"/>
        <v>4430.2496809194881</v>
      </c>
      <c r="AB28" s="27">
        <f t="shared" si="4"/>
        <v>16.728971681500383</v>
      </c>
    </row>
    <row r="29" spans="1:28" ht="15.75" thickBot="1" x14ac:dyDescent="0.3">
      <c r="A29" s="11" t="s">
        <v>43</v>
      </c>
      <c r="B29">
        <v>6</v>
      </c>
      <c r="C29">
        <v>102</v>
      </c>
      <c r="D29">
        <v>6</v>
      </c>
      <c r="E29">
        <v>20</v>
      </c>
      <c r="F29" s="2">
        <v>33794.612677890836</v>
      </c>
      <c r="G29" s="2">
        <v>27276.42321165383</v>
      </c>
      <c r="H29" s="2">
        <v>700.03125</v>
      </c>
      <c r="I29">
        <v>4</v>
      </c>
      <c r="J29">
        <v>500</v>
      </c>
      <c r="K29">
        <v>7200</v>
      </c>
      <c r="L29">
        <v>7200</v>
      </c>
      <c r="M29" s="19">
        <v>69</v>
      </c>
      <c r="N29" s="20">
        <v>8</v>
      </c>
      <c r="O29" s="20">
        <v>27</v>
      </c>
      <c r="P29" s="20">
        <v>3</v>
      </c>
      <c r="Q29" s="21">
        <v>0</v>
      </c>
      <c r="S29" s="3">
        <v>29031.51552242758</v>
      </c>
      <c r="T29" s="3">
        <v>296.890625</v>
      </c>
      <c r="V29" s="10">
        <v>21956.46</v>
      </c>
      <c r="W29" s="2">
        <f t="shared" si="0"/>
        <v>24.229603550179903</v>
      </c>
      <c r="X29" s="3">
        <f t="shared" si="1"/>
        <v>32.223115759223418</v>
      </c>
      <c r="Y29" s="8">
        <f t="shared" si="2"/>
        <v>7.9935122090435158</v>
      </c>
      <c r="AA29" s="28">
        <f t="shared" si="3"/>
        <v>27276.42321165383</v>
      </c>
      <c r="AB29" s="27">
        <f t="shared" si="4"/>
        <v>24.229603550179903</v>
      </c>
    </row>
    <row r="30" spans="1:28" ht="15.75" thickBot="1" x14ac:dyDescent="0.3">
      <c r="A30" s="11" t="s">
        <v>44</v>
      </c>
      <c r="B30">
        <v>6</v>
      </c>
      <c r="C30">
        <v>102</v>
      </c>
      <c r="D30">
        <v>6</v>
      </c>
      <c r="E30">
        <v>20</v>
      </c>
      <c r="F30" s="2">
        <v>33794.612677890836</v>
      </c>
      <c r="G30" s="2">
        <v>27011.940335275751</v>
      </c>
      <c r="H30" s="2">
        <v>803.8125</v>
      </c>
      <c r="I30">
        <v>4</v>
      </c>
      <c r="J30">
        <v>500</v>
      </c>
      <c r="K30">
        <v>7200</v>
      </c>
      <c r="L30">
        <v>7200</v>
      </c>
      <c r="M30" s="19">
        <v>97</v>
      </c>
      <c r="N30" s="20">
        <v>19</v>
      </c>
      <c r="O30" s="20">
        <v>31</v>
      </c>
      <c r="P30" s="20">
        <v>4</v>
      </c>
      <c r="Q30" s="21">
        <v>0</v>
      </c>
      <c r="S30" s="3">
        <v>29573.104015644461</v>
      </c>
      <c r="T30" s="3">
        <v>287.765625</v>
      </c>
      <c r="V30" s="10">
        <v>22934.71</v>
      </c>
      <c r="W30" s="2">
        <f t="shared" si="0"/>
        <v>17.777553478006695</v>
      </c>
      <c r="X30" s="3">
        <f t="shared" si="1"/>
        <v>28.944748007035912</v>
      </c>
      <c r="Y30" s="8">
        <f t="shared" si="2"/>
        <v>11.167194529029217</v>
      </c>
      <c r="AA30" s="28">
        <f t="shared" si="3"/>
        <v>27011.940335275751</v>
      </c>
      <c r="AB30" s="27">
        <f t="shared" si="4"/>
        <v>17.777553478006695</v>
      </c>
    </row>
    <row r="31" spans="1:28" x14ac:dyDescent="0.25">
      <c r="A31" s="11" t="s">
        <v>45</v>
      </c>
      <c r="B31">
        <v>6</v>
      </c>
      <c r="C31">
        <v>102</v>
      </c>
      <c r="D31">
        <v>6</v>
      </c>
      <c r="E31">
        <v>20</v>
      </c>
      <c r="F31" s="2">
        <v>34142.254083445099</v>
      </c>
      <c r="G31" s="2">
        <v>29678.314425531549</v>
      </c>
      <c r="H31" s="2">
        <v>632.671875</v>
      </c>
      <c r="I31">
        <v>4</v>
      </c>
      <c r="J31">
        <v>500</v>
      </c>
      <c r="K31">
        <v>7200</v>
      </c>
      <c r="L31">
        <v>7200</v>
      </c>
      <c r="M31">
        <v>2</v>
      </c>
      <c r="N31">
        <v>2</v>
      </c>
      <c r="O31">
        <v>8</v>
      </c>
      <c r="P31">
        <v>2</v>
      </c>
      <c r="Q31">
        <v>0</v>
      </c>
      <c r="S31" s="3">
        <v>29796.684656668509</v>
      </c>
      <c r="T31" s="3">
        <v>459.34375</v>
      </c>
      <c r="V31" s="10">
        <v>22909.360000000001</v>
      </c>
      <c r="W31" s="2">
        <f t="shared" si="0"/>
        <v>29.546676229853432</v>
      </c>
      <c r="X31" s="3">
        <f t="shared" si="1"/>
        <v>30.063365614179133</v>
      </c>
      <c r="Y31" s="6">
        <f t="shared" si="2"/>
        <v>0.51668938432570144</v>
      </c>
      <c r="AA31" s="28">
        <f t="shared" si="3"/>
        <v>29678.314425531549</v>
      </c>
      <c r="AB31" s="27">
        <f t="shared" si="4"/>
        <v>29.546676229853432</v>
      </c>
    </row>
    <row r="32" spans="1:28" x14ac:dyDescent="0.25">
      <c r="A32" s="11" t="s">
        <v>46</v>
      </c>
      <c r="B32">
        <v>9</v>
      </c>
      <c r="C32">
        <v>153</v>
      </c>
      <c r="D32">
        <v>6</v>
      </c>
      <c r="E32">
        <v>20</v>
      </c>
      <c r="F32" s="2">
        <v>125606.574243333</v>
      </c>
      <c r="G32" s="2">
        <v>97985.757788991614</v>
      </c>
      <c r="H32" s="2">
        <v>3918.515625</v>
      </c>
      <c r="I32">
        <v>4</v>
      </c>
      <c r="J32">
        <v>500</v>
      </c>
      <c r="K32">
        <v>7200</v>
      </c>
      <c r="L32">
        <v>7200</v>
      </c>
      <c r="M32">
        <v>25</v>
      </c>
      <c r="N32">
        <v>11</v>
      </c>
      <c r="O32">
        <v>15</v>
      </c>
      <c r="P32">
        <v>6</v>
      </c>
      <c r="Q32">
        <v>0</v>
      </c>
      <c r="S32" s="3">
        <v>99820.059557291795</v>
      </c>
      <c r="T32" s="3">
        <v>2888.265625</v>
      </c>
      <c r="V32" s="10">
        <v>75016.58</v>
      </c>
      <c r="W32" s="2">
        <f t="shared" si="0"/>
        <v>30.618801588917563</v>
      </c>
      <c r="X32" s="3">
        <f t="shared" si="1"/>
        <v>33.063996728845524</v>
      </c>
      <c r="Y32" s="6">
        <f t="shared" si="2"/>
        <v>2.4451951399279608</v>
      </c>
      <c r="AA32" s="28">
        <f t="shared" si="3"/>
        <v>97985.757788991614</v>
      </c>
      <c r="AB32" s="27">
        <f t="shared" si="4"/>
        <v>30.618801588917563</v>
      </c>
    </row>
    <row r="33" spans="1:28" x14ac:dyDescent="0.25">
      <c r="A33" s="11" t="s">
        <v>47</v>
      </c>
      <c r="B33">
        <v>9</v>
      </c>
      <c r="C33">
        <v>153</v>
      </c>
      <c r="D33">
        <v>6</v>
      </c>
      <c r="E33">
        <v>20</v>
      </c>
      <c r="F33" s="2">
        <v>127635.67882667739</v>
      </c>
      <c r="G33" s="2">
        <v>103438.1889118368</v>
      </c>
      <c r="H33" s="2">
        <v>2821.71875</v>
      </c>
      <c r="I33">
        <v>4</v>
      </c>
      <c r="J33">
        <v>500</v>
      </c>
      <c r="K33">
        <v>7200</v>
      </c>
      <c r="L33">
        <v>7200</v>
      </c>
      <c r="M33">
        <v>24</v>
      </c>
      <c r="N33">
        <v>12</v>
      </c>
      <c r="O33">
        <v>11</v>
      </c>
      <c r="P33">
        <v>5</v>
      </c>
      <c r="Q33">
        <v>1</v>
      </c>
      <c r="S33" s="3">
        <v>105734.17537642449</v>
      </c>
      <c r="T33" s="3">
        <v>1694.109375</v>
      </c>
      <c r="V33" s="10">
        <v>78179.89</v>
      </c>
      <c r="W33" s="2">
        <f t="shared" si="0"/>
        <v>32.307923318690769</v>
      </c>
      <c r="X33" s="3">
        <f t="shared" si="1"/>
        <v>35.244722621667137</v>
      </c>
      <c r="Y33" s="6">
        <f t="shared" si="2"/>
        <v>2.9367993029763682</v>
      </c>
      <c r="AA33" s="28">
        <f t="shared" si="3"/>
        <v>103438.1889118368</v>
      </c>
      <c r="AB33" s="27">
        <f t="shared" si="4"/>
        <v>32.307923318690769</v>
      </c>
    </row>
    <row r="34" spans="1:28" x14ac:dyDescent="0.25">
      <c r="A34" s="11" t="s">
        <v>48</v>
      </c>
      <c r="B34">
        <v>9</v>
      </c>
      <c r="C34">
        <v>153</v>
      </c>
      <c r="D34">
        <v>6</v>
      </c>
      <c r="E34">
        <v>20</v>
      </c>
      <c r="F34" s="2">
        <v>126353.9267526294</v>
      </c>
      <c r="G34" s="2">
        <v>100089.411870336</v>
      </c>
      <c r="H34" s="2">
        <v>7631.71875</v>
      </c>
      <c r="I34">
        <v>4</v>
      </c>
      <c r="J34">
        <v>500</v>
      </c>
      <c r="K34">
        <v>7200</v>
      </c>
      <c r="L34">
        <v>7200</v>
      </c>
      <c r="M34">
        <v>39</v>
      </c>
      <c r="N34">
        <v>15</v>
      </c>
      <c r="O34">
        <v>42</v>
      </c>
      <c r="P34">
        <v>8</v>
      </c>
      <c r="Q34">
        <v>0</v>
      </c>
      <c r="S34" s="3">
        <v>100816.2334861796</v>
      </c>
      <c r="T34" s="3">
        <v>5133.765625</v>
      </c>
      <c r="V34" s="10">
        <v>80479.199999999997</v>
      </c>
      <c r="W34" s="2">
        <f t="shared" si="0"/>
        <v>24.366807660036372</v>
      </c>
      <c r="X34" s="3">
        <f t="shared" si="1"/>
        <v>25.269925006932979</v>
      </c>
      <c r="Y34" s="6">
        <f t="shared" si="2"/>
        <v>0.90311734689660739</v>
      </c>
      <c r="AA34" s="28">
        <f t="shared" si="3"/>
        <v>100089.411870336</v>
      </c>
      <c r="AB34" s="27">
        <f t="shared" si="4"/>
        <v>24.366807660036372</v>
      </c>
    </row>
    <row r="35" spans="1:28" ht="15.75" thickBot="1" x14ac:dyDescent="0.3"/>
    <row r="36" spans="1:28" ht="15.75" thickBot="1" x14ac:dyDescent="0.3">
      <c r="H36" s="13">
        <f>SUM(H3:H34)/32</f>
        <v>1065.0966796875</v>
      </c>
      <c r="I36" s="29" t="s">
        <v>53</v>
      </c>
      <c r="T36" s="16">
        <f>SUM(T3:T34)/32</f>
        <v>613.78857421875</v>
      </c>
      <c r="U36" s="30" t="s">
        <v>53</v>
      </c>
      <c r="W36" s="17">
        <f>SUM(W3:W34)/32</f>
        <v>17.768223362552881</v>
      </c>
      <c r="X36" s="18">
        <f>SUM(X3:X34)/32</f>
        <v>18.81056747750446</v>
      </c>
      <c r="AB36" s="28">
        <f>SUM(AB3:AB34)/32</f>
        <v>16.96326004290918</v>
      </c>
    </row>
    <row r="37" spans="1:28" ht="15.75" thickBot="1" x14ac:dyDescent="0.3">
      <c r="H37" s="14">
        <f>H36/60</f>
        <v>17.751611328125001</v>
      </c>
      <c r="I37" s="15" t="s">
        <v>54</v>
      </c>
      <c r="T37" s="14">
        <f>T36/60</f>
        <v>10.229809570312501</v>
      </c>
      <c r="U37" s="15" t="s">
        <v>54</v>
      </c>
    </row>
    <row r="39" spans="1:28" ht="15" customHeight="1" x14ac:dyDescent="0.25">
      <c r="R39" s="35"/>
      <c r="S39" s="39"/>
      <c r="T39" s="39"/>
    </row>
    <row r="40" spans="1:28" x14ac:dyDescent="0.25">
      <c r="R40" s="35"/>
      <c r="S40" s="39"/>
      <c r="T40" s="39"/>
    </row>
  </sheetData>
  <mergeCells count="2">
    <mergeCell ref="S1:T1"/>
    <mergeCell ref="F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2025-07-09T08:10:23Z</dcterms:created>
  <dcterms:modified xsi:type="dcterms:W3CDTF">2025-07-09T14:38:37Z</dcterms:modified>
</cp:coreProperties>
</file>