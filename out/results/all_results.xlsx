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esercizio\script\out\results\"/>
    </mc:Choice>
  </mc:AlternateContent>
  <xr:revisionPtr revIDLastSave="0" documentId="13_ncr:1_{EE7D3D6A-3D2C-4B61-93B9-D61419800A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50" sheetId="1" r:id="rId1"/>
    <sheet name="500" sheetId="2" r:id="rId2"/>
    <sheet name="750" sheetId="3" r:id="rId3"/>
    <sheet name="1000" sheetId="4" r:id="rId4"/>
    <sheet name="al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4" i="2" l="1"/>
  <c r="AP14" i="2"/>
  <c r="AO14" i="2"/>
  <c r="AN14" i="2"/>
  <c r="AM14" i="2"/>
  <c r="AQ3" i="2"/>
  <c r="AQ4" i="2"/>
  <c r="AQ5" i="2"/>
  <c r="AQ6" i="2"/>
  <c r="AQ7" i="2"/>
  <c r="AQ8" i="2"/>
  <c r="AQ9" i="2"/>
  <c r="AQ10" i="2"/>
  <c r="AQ11" i="2"/>
  <c r="AQ12" i="2"/>
  <c r="AQ13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2" i="2"/>
  <c r="AP3" i="2"/>
  <c r="AP4" i="2"/>
  <c r="AP5" i="2"/>
  <c r="AP6" i="2"/>
  <c r="AP7" i="2"/>
  <c r="AP8" i="2"/>
  <c r="AP9" i="2"/>
  <c r="AP10" i="2"/>
  <c r="AP11" i="2"/>
  <c r="AP12" i="2"/>
  <c r="AP13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2" i="2"/>
  <c r="AM3" i="2"/>
  <c r="AN3" i="2"/>
  <c r="AO3" i="2"/>
  <c r="AM4" i="2"/>
  <c r="AN4" i="2"/>
  <c r="AO4" i="2"/>
  <c r="AM5" i="2"/>
  <c r="AN5" i="2"/>
  <c r="AO5" i="2"/>
  <c r="AM6" i="2"/>
  <c r="AN6" i="2"/>
  <c r="AO6" i="2"/>
  <c r="AM7" i="2"/>
  <c r="AN7" i="2"/>
  <c r="AO7" i="2"/>
  <c r="AM8" i="2"/>
  <c r="AN8" i="2"/>
  <c r="AO8" i="2"/>
  <c r="AM9" i="2"/>
  <c r="AN9" i="2"/>
  <c r="AO9" i="2"/>
  <c r="AM10" i="2"/>
  <c r="AN10" i="2"/>
  <c r="AO10" i="2"/>
  <c r="AM11" i="2"/>
  <c r="AN11" i="2"/>
  <c r="AO11" i="2"/>
  <c r="AM12" i="2"/>
  <c r="AN12" i="2"/>
  <c r="AO12" i="2"/>
  <c r="AM13" i="2"/>
  <c r="AN13" i="2"/>
  <c r="AO13" i="2"/>
  <c r="AM15" i="2"/>
  <c r="AN15" i="2"/>
  <c r="AO15" i="2"/>
  <c r="AM16" i="2"/>
  <c r="AN16" i="2"/>
  <c r="AO16" i="2"/>
  <c r="AM17" i="2"/>
  <c r="AN17" i="2"/>
  <c r="AO17" i="2"/>
  <c r="AM18" i="2"/>
  <c r="AN18" i="2"/>
  <c r="AO18" i="2"/>
  <c r="AM19" i="2"/>
  <c r="AN19" i="2"/>
  <c r="AO19" i="2"/>
  <c r="AM20" i="2"/>
  <c r="AN20" i="2"/>
  <c r="AO20" i="2"/>
  <c r="AM21" i="2"/>
  <c r="AN21" i="2"/>
  <c r="AO21" i="2"/>
  <c r="AM22" i="2"/>
  <c r="AN22" i="2"/>
  <c r="AO22" i="2"/>
  <c r="AM23" i="2"/>
  <c r="AN23" i="2"/>
  <c r="AO23" i="2"/>
  <c r="AM24" i="2"/>
  <c r="AN24" i="2"/>
  <c r="AO24" i="2"/>
  <c r="AM25" i="2"/>
  <c r="AN25" i="2"/>
  <c r="AO25" i="2"/>
  <c r="AM26" i="2"/>
  <c r="AN26" i="2"/>
  <c r="AO26" i="2"/>
  <c r="AM27" i="2"/>
  <c r="AN27" i="2"/>
  <c r="AO27" i="2"/>
  <c r="AM28" i="2"/>
  <c r="AN28" i="2"/>
  <c r="AO28" i="2"/>
  <c r="AM29" i="2"/>
  <c r="AN29" i="2"/>
  <c r="AO29" i="2"/>
  <c r="AM30" i="2"/>
  <c r="AN30" i="2"/>
  <c r="AO30" i="2"/>
  <c r="AM31" i="2"/>
  <c r="AN31" i="2"/>
  <c r="AO31" i="2"/>
  <c r="AM32" i="2"/>
  <c r="AN32" i="2"/>
  <c r="AO32" i="2"/>
  <c r="AM33" i="2"/>
  <c r="AN33" i="2"/>
  <c r="AO33" i="2"/>
  <c r="AN2" i="2"/>
  <c r="AO2" i="2"/>
  <c r="AM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2" i="2"/>
  <c r="AA14" i="2"/>
  <c r="AE35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2" i="2"/>
  <c r="AA2" i="2"/>
  <c r="AE33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2" i="2"/>
  <c r="Z2" i="2"/>
  <c r="AA3" i="2"/>
  <c r="AA4" i="2"/>
  <c r="AA5" i="2"/>
  <c r="AA6" i="2"/>
  <c r="AA7" i="2"/>
  <c r="AA8" i="2"/>
  <c r="AA9" i="2"/>
  <c r="AA10" i="2"/>
  <c r="AA11" i="2"/>
  <c r="AA12" i="2"/>
  <c r="AA13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5" i="2"/>
  <c r="AC36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" i="5"/>
  <c r="Y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X36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" i="5"/>
  <c r="S36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" i="5"/>
  <c r="N3" i="5"/>
  <c r="J4" i="5"/>
  <c r="J5" i="5"/>
  <c r="J6" i="5"/>
  <c r="O6" i="5" s="1"/>
  <c r="J7" i="5"/>
  <c r="J8" i="5"/>
  <c r="J9" i="5"/>
  <c r="J10" i="5"/>
  <c r="J11" i="5"/>
  <c r="J12" i="5"/>
  <c r="J13" i="5"/>
  <c r="J14" i="5"/>
  <c r="J15" i="5"/>
  <c r="O15" i="5" s="1"/>
  <c r="J16" i="5"/>
  <c r="O16" i="5" s="1"/>
  <c r="J17" i="5"/>
  <c r="J18" i="5"/>
  <c r="J19" i="5"/>
  <c r="J20" i="5"/>
  <c r="J21" i="5"/>
  <c r="J22" i="5"/>
  <c r="J23" i="5"/>
  <c r="J24" i="5"/>
  <c r="J25" i="5"/>
  <c r="J26" i="5"/>
  <c r="J27" i="5"/>
  <c r="J28" i="5"/>
  <c r="O28" i="5" s="1"/>
  <c r="J29" i="5"/>
  <c r="O29" i="5" s="1"/>
  <c r="J30" i="5"/>
  <c r="J31" i="5"/>
  <c r="O31" i="5" s="1"/>
  <c r="J32" i="5"/>
  <c r="O32" i="5" s="1"/>
  <c r="J33" i="5"/>
  <c r="J34" i="5"/>
  <c r="J3" i="5"/>
  <c r="N34" i="5"/>
  <c r="N33" i="5"/>
  <c r="N32" i="5"/>
  <c r="N31" i="5"/>
  <c r="N30" i="5"/>
  <c r="N29" i="5"/>
  <c r="N28" i="5"/>
  <c r="N27" i="5"/>
  <c r="O27" i="5"/>
  <c r="N26" i="5"/>
  <c r="N25" i="5"/>
  <c r="N24" i="5"/>
  <c r="N23" i="5"/>
  <c r="N22" i="5"/>
  <c r="O22" i="5"/>
  <c r="N21" i="5"/>
  <c r="O21" i="5" s="1"/>
  <c r="N20" i="5"/>
  <c r="O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O7" i="5"/>
  <c r="N6" i="5"/>
  <c r="N5" i="5"/>
  <c r="O5" i="5"/>
  <c r="N4" i="5"/>
  <c r="O4" i="5"/>
  <c r="U33" i="4"/>
  <c r="T33" i="4"/>
  <c r="V33" i="4" s="1"/>
  <c r="U32" i="4"/>
  <c r="T32" i="4"/>
  <c r="V32" i="4" s="1"/>
  <c r="U31" i="4"/>
  <c r="T31" i="4"/>
  <c r="V31" i="4" s="1"/>
  <c r="U30" i="4"/>
  <c r="T30" i="4"/>
  <c r="V30" i="4" s="1"/>
  <c r="U29" i="4"/>
  <c r="T29" i="4"/>
  <c r="V29" i="4" s="1"/>
  <c r="U28" i="4"/>
  <c r="T28" i="4"/>
  <c r="V28" i="4" s="1"/>
  <c r="U27" i="4"/>
  <c r="T27" i="4"/>
  <c r="V27" i="4" s="1"/>
  <c r="U26" i="4"/>
  <c r="T26" i="4"/>
  <c r="V26" i="4" s="1"/>
  <c r="U25" i="4"/>
  <c r="T25" i="4"/>
  <c r="V25" i="4" s="1"/>
  <c r="U24" i="4"/>
  <c r="T24" i="4"/>
  <c r="V24" i="4" s="1"/>
  <c r="V23" i="4"/>
  <c r="U23" i="4"/>
  <c r="T23" i="4"/>
  <c r="U22" i="4"/>
  <c r="T22" i="4"/>
  <c r="V22" i="4" s="1"/>
  <c r="U21" i="4"/>
  <c r="T21" i="4"/>
  <c r="V21" i="4" s="1"/>
  <c r="U20" i="4"/>
  <c r="T20" i="4"/>
  <c r="V20" i="4" s="1"/>
  <c r="U19" i="4"/>
  <c r="T19" i="4"/>
  <c r="V19" i="4" s="1"/>
  <c r="U18" i="4"/>
  <c r="V18" i="4" s="1"/>
  <c r="T18" i="4"/>
  <c r="U17" i="4"/>
  <c r="T17" i="4"/>
  <c r="V17" i="4" s="1"/>
  <c r="U16" i="4"/>
  <c r="T16" i="4"/>
  <c r="V16" i="4" s="1"/>
  <c r="U15" i="4"/>
  <c r="T15" i="4"/>
  <c r="V15" i="4" s="1"/>
  <c r="U14" i="4"/>
  <c r="T14" i="4"/>
  <c r="V14" i="4" s="1"/>
  <c r="U13" i="4"/>
  <c r="T13" i="4"/>
  <c r="V13" i="4" s="1"/>
  <c r="U12" i="4"/>
  <c r="T12" i="4"/>
  <c r="V12" i="4" s="1"/>
  <c r="U11" i="4"/>
  <c r="T11" i="4"/>
  <c r="V11" i="4" s="1"/>
  <c r="U10" i="4"/>
  <c r="T10" i="4"/>
  <c r="V10" i="4" s="1"/>
  <c r="U9" i="4"/>
  <c r="T9" i="4"/>
  <c r="V9" i="4" s="1"/>
  <c r="U8" i="4"/>
  <c r="T8" i="4"/>
  <c r="V8" i="4" s="1"/>
  <c r="V7" i="4"/>
  <c r="U7" i="4"/>
  <c r="T7" i="4"/>
  <c r="U6" i="4"/>
  <c r="T6" i="4"/>
  <c r="V6" i="4" s="1"/>
  <c r="U5" i="4"/>
  <c r="T5" i="4"/>
  <c r="V5" i="4" s="1"/>
  <c r="U4" i="4"/>
  <c r="T4" i="4"/>
  <c r="V4" i="4" s="1"/>
  <c r="U3" i="4"/>
  <c r="T3" i="4"/>
  <c r="V3" i="4" s="1"/>
  <c r="U2" i="4"/>
  <c r="V2" i="4" s="1"/>
  <c r="T2" i="4"/>
  <c r="T35" i="4" s="1"/>
  <c r="U33" i="3"/>
  <c r="T33" i="3"/>
  <c r="V33" i="3" s="1"/>
  <c r="U32" i="3"/>
  <c r="T32" i="3"/>
  <c r="V32" i="3" s="1"/>
  <c r="U31" i="3"/>
  <c r="T31" i="3"/>
  <c r="V31" i="3" s="1"/>
  <c r="U30" i="3"/>
  <c r="T30" i="3"/>
  <c r="V30" i="3" s="1"/>
  <c r="U29" i="3"/>
  <c r="V29" i="3" s="1"/>
  <c r="T29" i="3"/>
  <c r="U28" i="3"/>
  <c r="T28" i="3"/>
  <c r="V28" i="3" s="1"/>
  <c r="U27" i="3"/>
  <c r="T27" i="3"/>
  <c r="V27" i="3" s="1"/>
  <c r="U26" i="3"/>
  <c r="T26" i="3"/>
  <c r="V26" i="3" s="1"/>
  <c r="U25" i="3"/>
  <c r="T25" i="3"/>
  <c r="V25" i="3" s="1"/>
  <c r="U24" i="3"/>
  <c r="T24" i="3"/>
  <c r="V24" i="3" s="1"/>
  <c r="U23" i="3"/>
  <c r="T23" i="3"/>
  <c r="V23" i="3" s="1"/>
  <c r="U22" i="3"/>
  <c r="T22" i="3"/>
  <c r="V22" i="3" s="1"/>
  <c r="U21" i="3"/>
  <c r="T21" i="3"/>
  <c r="V21" i="3" s="1"/>
  <c r="U20" i="3"/>
  <c r="T20" i="3"/>
  <c r="V20" i="3" s="1"/>
  <c r="U19" i="3"/>
  <c r="T19" i="3"/>
  <c r="V19" i="3" s="1"/>
  <c r="V18" i="3"/>
  <c r="U18" i="3"/>
  <c r="T18" i="3"/>
  <c r="U17" i="3"/>
  <c r="T17" i="3"/>
  <c r="V17" i="3" s="1"/>
  <c r="U16" i="3"/>
  <c r="T16" i="3"/>
  <c r="V16" i="3" s="1"/>
  <c r="U15" i="3"/>
  <c r="T15" i="3"/>
  <c r="V15" i="3" s="1"/>
  <c r="U14" i="3"/>
  <c r="T14" i="3"/>
  <c r="V14" i="3" s="1"/>
  <c r="U13" i="3"/>
  <c r="V13" i="3" s="1"/>
  <c r="T13" i="3"/>
  <c r="U12" i="3"/>
  <c r="T12" i="3"/>
  <c r="V12" i="3" s="1"/>
  <c r="U11" i="3"/>
  <c r="T11" i="3"/>
  <c r="V11" i="3" s="1"/>
  <c r="U10" i="3"/>
  <c r="T10" i="3"/>
  <c r="V10" i="3" s="1"/>
  <c r="U9" i="3"/>
  <c r="T9" i="3"/>
  <c r="V9" i="3" s="1"/>
  <c r="U8" i="3"/>
  <c r="T8" i="3"/>
  <c r="V8" i="3" s="1"/>
  <c r="U7" i="3"/>
  <c r="T7" i="3"/>
  <c r="V7" i="3" s="1"/>
  <c r="U6" i="3"/>
  <c r="T6" i="3"/>
  <c r="V6" i="3" s="1"/>
  <c r="U5" i="3"/>
  <c r="T5" i="3"/>
  <c r="V5" i="3" s="1"/>
  <c r="U4" i="3"/>
  <c r="T4" i="3"/>
  <c r="V4" i="3" s="1"/>
  <c r="U3" i="3"/>
  <c r="T3" i="3"/>
  <c r="V3" i="3" s="1"/>
  <c r="V2" i="3"/>
  <c r="U2" i="3"/>
  <c r="U35" i="3" s="1"/>
  <c r="T2" i="3"/>
  <c r="T35" i="3" s="1"/>
  <c r="U33" i="2"/>
  <c r="T33" i="2"/>
  <c r="U32" i="2"/>
  <c r="T32" i="2"/>
  <c r="U31" i="2"/>
  <c r="T31" i="2"/>
  <c r="V31" i="2" s="1"/>
  <c r="U30" i="2"/>
  <c r="T30" i="2"/>
  <c r="V30" i="2" s="1"/>
  <c r="U29" i="2"/>
  <c r="T29" i="2"/>
  <c r="V29" i="2" s="1"/>
  <c r="U28" i="2"/>
  <c r="T28" i="2"/>
  <c r="V28" i="2" s="1"/>
  <c r="U27" i="2"/>
  <c r="T27" i="2"/>
  <c r="V27" i="2" s="1"/>
  <c r="U26" i="2"/>
  <c r="T26" i="2"/>
  <c r="U25" i="2"/>
  <c r="T25" i="2"/>
  <c r="U24" i="2"/>
  <c r="T24" i="2"/>
  <c r="U23" i="2"/>
  <c r="T23" i="2"/>
  <c r="V23" i="2" s="1"/>
  <c r="U22" i="2"/>
  <c r="T22" i="2"/>
  <c r="V22" i="2" s="1"/>
  <c r="U21" i="2"/>
  <c r="T21" i="2"/>
  <c r="V21" i="2" s="1"/>
  <c r="U20" i="2"/>
  <c r="T20" i="2"/>
  <c r="V20" i="2" s="1"/>
  <c r="U19" i="2"/>
  <c r="T19" i="2"/>
  <c r="V19" i="2" s="1"/>
  <c r="U18" i="2"/>
  <c r="V18" i="2" s="1"/>
  <c r="T18" i="2"/>
  <c r="U17" i="2"/>
  <c r="T17" i="2"/>
  <c r="V17" i="2" s="1"/>
  <c r="U16" i="2"/>
  <c r="T16" i="2"/>
  <c r="V16" i="2" s="1"/>
  <c r="U15" i="2"/>
  <c r="T15" i="2"/>
  <c r="V15" i="2" s="1"/>
  <c r="U14" i="2"/>
  <c r="T14" i="2"/>
  <c r="V14" i="2" s="1"/>
  <c r="U13" i="2"/>
  <c r="T13" i="2"/>
  <c r="V13" i="2" s="1"/>
  <c r="U12" i="2"/>
  <c r="T12" i="2"/>
  <c r="V12" i="2" s="1"/>
  <c r="U11" i="2"/>
  <c r="T11" i="2"/>
  <c r="V11" i="2" s="1"/>
  <c r="U10" i="2"/>
  <c r="T10" i="2"/>
  <c r="V10" i="2" s="1"/>
  <c r="U9" i="2"/>
  <c r="T9" i="2"/>
  <c r="V9" i="2" s="1"/>
  <c r="U8" i="2"/>
  <c r="T8" i="2"/>
  <c r="V8" i="2" s="1"/>
  <c r="U7" i="2"/>
  <c r="T7" i="2"/>
  <c r="V7" i="2" s="1"/>
  <c r="U6" i="2"/>
  <c r="T6" i="2"/>
  <c r="V6" i="2" s="1"/>
  <c r="U5" i="2"/>
  <c r="T5" i="2"/>
  <c r="V5" i="2" s="1"/>
  <c r="U4" i="2"/>
  <c r="T4" i="2"/>
  <c r="V4" i="2" s="1"/>
  <c r="U3" i="2"/>
  <c r="T3" i="2"/>
  <c r="U2" i="2"/>
  <c r="V2" i="2" s="1"/>
  <c r="T2" i="2"/>
  <c r="T35" i="1"/>
  <c r="U35" i="1"/>
  <c r="U3" i="1"/>
  <c r="U4" i="1"/>
  <c r="U5" i="1"/>
  <c r="V5" i="1" s="1"/>
  <c r="U6" i="1"/>
  <c r="U7" i="1"/>
  <c r="U8" i="1"/>
  <c r="V8" i="1" s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V27" i="1" s="1"/>
  <c r="U28" i="1"/>
  <c r="U29" i="1"/>
  <c r="U30" i="1"/>
  <c r="U31" i="1"/>
  <c r="U32" i="1"/>
  <c r="U33" i="1"/>
  <c r="U2" i="1"/>
  <c r="V2" i="1" s="1"/>
  <c r="V3" i="1"/>
  <c r="V4" i="1"/>
  <c r="V6" i="1"/>
  <c r="V7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8" i="1"/>
  <c r="V29" i="1"/>
  <c r="V30" i="1"/>
  <c r="V31" i="1"/>
  <c r="V32" i="1"/>
  <c r="V3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V3" i="2" l="1"/>
  <c r="V26" i="2"/>
  <c r="U35" i="2"/>
  <c r="V24" i="2"/>
  <c r="V32" i="2"/>
  <c r="T35" i="2"/>
  <c r="V25" i="2"/>
  <c r="V33" i="2"/>
  <c r="O8" i="5"/>
  <c r="O24" i="5"/>
  <c r="O13" i="5"/>
  <c r="O12" i="5"/>
  <c r="O23" i="5"/>
  <c r="O9" i="5"/>
  <c r="O17" i="5"/>
  <c r="O25" i="5"/>
  <c r="O33" i="5"/>
  <c r="O26" i="5"/>
  <c r="O34" i="5"/>
  <c r="O3" i="5"/>
  <c r="O19" i="5"/>
  <c r="O30" i="5"/>
  <c r="O10" i="5"/>
  <c r="O18" i="5"/>
  <c r="J36" i="5"/>
  <c r="O14" i="5"/>
  <c r="N36" i="5"/>
  <c r="O11" i="5"/>
  <c r="U35" i="4"/>
</calcChain>
</file>

<file path=xl/sharedStrings.xml><?xml version="1.0" encoding="utf-8"?>
<sst xmlns="http://schemas.openxmlformats.org/spreadsheetml/2006/main" count="297" uniqueCount="63">
  <si>
    <t>instance</t>
  </si>
  <si>
    <t>vehicles</t>
  </si>
  <si>
    <t>clients</t>
  </si>
  <si>
    <t>days</t>
  </si>
  <si>
    <t>capacity</t>
  </si>
  <si>
    <t>initial_sol_val</t>
  </si>
  <si>
    <t>VND_sol_val</t>
  </si>
  <si>
    <t>time</t>
  </si>
  <si>
    <t>max_neigh</t>
  </si>
  <si>
    <t>max_iter</t>
  </si>
  <si>
    <t>VND_time_limit</t>
  </si>
  <si>
    <t>neigh_time_limit</t>
  </si>
  <si>
    <t>neigh_0</t>
  </si>
  <si>
    <t>neigh_1</t>
  </si>
  <si>
    <t>neigh_2</t>
  </si>
  <si>
    <t>neigh_3</t>
  </si>
  <si>
    <t>neigh_4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</si>
  <si>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</si>
  <si>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</si>
  <si>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</si>
  <si>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</si>
  <si>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</si>
  <si>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</si>
  <si>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</si>
  <si>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</si>
  <si>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</si>
  <si>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</si>
  <si>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</si>
  <si>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</si>
  <si>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</si>
  <si>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</si>
  <si>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</si>
  <si>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</si>
  <si>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</si>
  <si>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</si>
  <si>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</si>
  <si>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</si>
  <si>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</si>
  <si>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</si>
  <si>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</si>
  <si>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</si>
  <si>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</si>
  <si>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</si>
  <si>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</si>
  <si>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</si>
  <si>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</si>
  <si>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</si>
  <si>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</si>
  <si>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</si>
  <si>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% initial</t>
  </si>
  <si>
    <t>% VND</t>
  </si>
  <si>
    <t>best result k.</t>
  </si>
  <si>
    <t>improvement</t>
  </si>
  <si>
    <t>initial - VND_250</t>
  </si>
  <si>
    <t>VND_250 - VND_500</t>
  </si>
  <si>
    <t>VND_500 - VND_750</t>
  </si>
  <si>
    <t>VND_750 - VND_1000</t>
  </si>
  <si>
    <t>difference</t>
  </si>
  <si>
    <t>time limit on neighbourhood</t>
  </si>
  <si>
    <t>NO time limit on neighbourhood</t>
  </si>
  <si>
    <t>the VND has reached the algorithm time limit</t>
  </si>
  <si>
    <t>neighbours: 0, 1, 2, 4, 3</t>
  </si>
  <si>
    <t>%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</si>
</sst>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0EA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2" fontId="0" fillId="3" borderId="0" xfId="0" applyNumberFormat="1" applyFill="1"/>
    <xf numFmtId="2" fontId="0" fillId="3" borderId="2" xfId="0" applyNumberFormat="1" applyFill="1" applyBorder="1"/>
    <xf numFmtId="2" fontId="0" fillId="0" borderId="2" xfId="0" applyNumberForma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0" fillId="4" borderId="0" xfId="0" applyNumberFormat="1" applyFill="1"/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0" fillId="6" borderId="0" xfId="0" applyFill="1"/>
    <xf numFmtId="0" fontId="0" fillId="7" borderId="0" xfId="0" applyFill="1" applyAlignment="1">
      <alignment horizontal="center"/>
    </xf>
    <xf numFmtId="0" fontId="1" fillId="8" borderId="1" xfId="0" applyFont="1" applyFill="1" applyBorder="1" applyAlignment="1">
      <alignment horizontal="center" vertical="top"/>
    </xf>
    <xf numFmtId="0" fontId="0" fillId="7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2" fontId="0" fillId="9" borderId="0" xfId="0" applyNumberFormat="1" applyFill="1"/>
    <xf numFmtId="0" fontId="1" fillId="10" borderId="1" xfId="0" applyFont="1" applyFill="1" applyBorder="1" applyAlignment="1">
      <alignment horizontal="center" vertical="top"/>
    </xf>
    <xf numFmtId="0" fontId="0" fillId="9" borderId="0" xfId="0" applyFill="1"/>
    <xf numFmtId="0" fontId="1" fillId="9" borderId="1" xfId="0" applyFont="1" applyFill="1" applyBorder="1" applyAlignment="1">
      <alignment horizontal="center" vertical="top"/>
    </xf>
    <xf numFmtId="0" fontId="0" fillId="9" borderId="2" xfId="0" applyFill="1" applyBorder="1"/>
    <xf numFmtId="0" fontId="1" fillId="9" borderId="1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0EA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'500'!$T$2:$T$33</c:f>
              <c:numCache>
                <c:formatCode>0.00</c:formatCode>
                <c:ptCount val="32"/>
                <c:pt idx="0">
                  <c:v>33.421412332806398</c:v>
                </c:pt>
                <c:pt idx="1">
                  <c:v>36.523899785071563</c:v>
                </c:pt>
                <c:pt idx="2">
                  <c:v>34.903609533394302</c:v>
                </c:pt>
                <c:pt idx="3">
                  <c:v>42.628886277970167</c:v>
                </c:pt>
                <c:pt idx="4">
                  <c:v>38.21896247299577</c:v>
                </c:pt>
                <c:pt idx="5">
                  <c:v>43.804514187932739</c:v>
                </c:pt>
                <c:pt idx="6">
                  <c:v>47.155716679789776</c:v>
                </c:pt>
                <c:pt idx="7">
                  <c:v>34.674642758010378</c:v>
                </c:pt>
                <c:pt idx="8">
                  <c:v>46.719753353019485</c:v>
                </c:pt>
                <c:pt idx="9">
                  <c:v>45.725262679032738</c:v>
                </c:pt>
                <c:pt idx="10">
                  <c:v>47.549014909544866</c:v>
                </c:pt>
                <c:pt idx="11">
                  <c:v>46.057768218552695</c:v>
                </c:pt>
                <c:pt idx="12">
                  <c:v>80.376301914549259</c:v>
                </c:pt>
                <c:pt idx="13">
                  <c:v>-3.0174615629618984E-4</c:v>
                </c:pt>
                <c:pt idx="14">
                  <c:v>2.0001682237365941</c:v>
                </c:pt>
                <c:pt idx="15">
                  <c:v>11.334932913795171</c:v>
                </c:pt>
                <c:pt idx="16">
                  <c:v>6.6419753976228577</c:v>
                </c:pt>
                <c:pt idx="17">
                  <c:v>2.2218655189789445</c:v>
                </c:pt>
                <c:pt idx="18">
                  <c:v>0.44324326644751011</c:v>
                </c:pt>
                <c:pt idx="19">
                  <c:v>12.838127576867279</c:v>
                </c:pt>
                <c:pt idx="20">
                  <c:v>13.38873783019541</c:v>
                </c:pt>
                <c:pt idx="21">
                  <c:v>7.9098159733762117</c:v>
                </c:pt>
                <c:pt idx="22">
                  <c:v>3.5483135117896012</c:v>
                </c:pt>
                <c:pt idx="23">
                  <c:v>38.542844102855923</c:v>
                </c:pt>
                <c:pt idx="24">
                  <c:v>35.253086564080604</c:v>
                </c:pt>
                <c:pt idx="25">
                  <c:v>34.257103934548013</c:v>
                </c:pt>
                <c:pt idx="26">
                  <c:v>53.916490535773249</c:v>
                </c:pt>
                <c:pt idx="27">
                  <c:v>47.351384333574913</c:v>
                </c:pt>
                <c:pt idx="28">
                  <c:v>49.031898243534954</c:v>
                </c:pt>
                <c:pt idx="29">
                  <c:v>67.438417271665799</c:v>
                </c:pt>
                <c:pt idx="30">
                  <c:v>63.258964455792125</c:v>
                </c:pt>
                <c:pt idx="31">
                  <c:v>57.00196666049041</c:v>
                </c:pt>
              </c:numCache>
            </c:numRef>
          </c:xVal>
          <c:yVal>
            <c:numRef>
              <c:f>'500'!$V$2:$V$33</c:f>
              <c:numCache>
                <c:formatCode>0.00</c:formatCode>
                <c:ptCount val="32"/>
                <c:pt idx="0">
                  <c:v>19.085437070351517</c:v>
                </c:pt>
                <c:pt idx="1">
                  <c:v>19.087123986641458</c:v>
                </c:pt>
                <c:pt idx="2">
                  <c:v>14.516187902989884</c:v>
                </c:pt>
                <c:pt idx="3">
                  <c:v>23.719086331387558</c:v>
                </c:pt>
                <c:pt idx="4">
                  <c:v>16.23532687539219</c:v>
                </c:pt>
                <c:pt idx="5">
                  <c:v>25.742117138601884</c:v>
                </c:pt>
                <c:pt idx="6">
                  <c:v>26.696214141201025</c:v>
                </c:pt>
                <c:pt idx="7">
                  <c:v>5.9156769924996695</c:v>
                </c:pt>
                <c:pt idx="8">
                  <c:v>29.112711609521227</c:v>
                </c:pt>
                <c:pt idx="9">
                  <c:v>20.495195644388644</c:v>
                </c:pt>
                <c:pt idx="10">
                  <c:v>24.648523327674511</c:v>
                </c:pt>
                <c:pt idx="11">
                  <c:v>17.6536704000047</c:v>
                </c:pt>
                <c:pt idx="12">
                  <c:v>28.037784609438631</c:v>
                </c:pt>
                <c:pt idx="13">
                  <c:v>0</c:v>
                </c:pt>
                <c:pt idx="14">
                  <c:v>0</c:v>
                </c:pt>
                <c:pt idx="15">
                  <c:v>0.76847467999847652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20.330850095873444</c:v>
                </c:pt>
                <c:pt idx="24">
                  <c:v>19.84808559218709</c:v>
                </c:pt>
                <c:pt idx="25">
                  <c:v>17.52813225304763</c:v>
                </c:pt>
                <c:pt idx="26">
                  <c:v>21.693374776549831</c:v>
                </c:pt>
                <c:pt idx="27">
                  <c:v>18.406636326539001</c:v>
                </c:pt>
                <c:pt idx="28">
                  <c:v>18.968532629355821</c:v>
                </c:pt>
                <c:pt idx="29">
                  <c:v>34.374420542820275</c:v>
                </c:pt>
                <c:pt idx="30">
                  <c:v>28.014241834124988</c:v>
                </c:pt>
                <c:pt idx="31">
                  <c:v>31.732041653557431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4-434A-8653-D52FF3F0F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549711"/>
        <c:axId val="771550191"/>
      </c:scatterChart>
      <c:valAx>
        <c:axId val="77154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</a:t>
                </a:r>
                <a:r>
                  <a:rPr lang="en-GB" baseline="0"/>
                  <a:t> initial sol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550191"/>
        <c:crosses val="autoZero"/>
        <c:crossBetween val="midCat"/>
      </c:valAx>
      <c:valAx>
        <c:axId val="77155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54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676555</xdr:colOff>
      <xdr:row>38</xdr:row>
      <xdr:rowOff>120182</xdr:rowOff>
    </xdr:from>
    <xdr:to>
      <xdr:col>27</xdr:col>
      <xdr:colOff>472049</xdr:colOff>
      <xdr:row>53</xdr:row>
      <xdr:rowOff>89926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0797E2-C0BF-31FC-6A0D-4D74A0FC9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zoomScaleNormal="100" workbookViewId="0">
      <selection activeCell="A14" sqref="A14:G14"/>
    </sheetView>
  </sheetViews>
  <sheetFormatPr defaultRowHeight="15" x14ac:dyDescent="0.25"/>
  <cols>
    <col min="6" max="8" width="13.5703125" customWidth="1"/>
    <col min="9" max="17" width="9.140625" customWidth="1"/>
    <col min="19" max="22" width="13.5703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51</v>
      </c>
      <c r="T1" s="1" t="s">
        <v>49</v>
      </c>
      <c r="U1" s="4" t="s">
        <v>50</v>
      </c>
      <c r="V1" s="1" t="s">
        <v>52</v>
      </c>
    </row>
    <row r="2" spans="1:22" x14ac:dyDescent="0.25">
      <c r="A2" s="2" t="s">
        <v>17</v>
      </c>
      <c r="B2">
        <v>3</v>
      </c>
      <c r="C2">
        <v>51</v>
      </c>
      <c r="D2">
        <v>2</v>
      </c>
      <c r="E2">
        <v>160</v>
      </c>
      <c r="F2">
        <v>699.94207123913566</v>
      </c>
      <c r="G2" s="5">
        <v>616.54867304076424</v>
      </c>
      <c r="H2">
        <v>5.03125</v>
      </c>
      <c r="I2">
        <v>4</v>
      </c>
      <c r="J2">
        <v>250</v>
      </c>
      <c r="K2">
        <v>7200</v>
      </c>
      <c r="L2">
        <v>720</v>
      </c>
      <c r="M2">
        <v>2</v>
      </c>
      <c r="N2">
        <v>1</v>
      </c>
      <c r="O2">
        <v>1</v>
      </c>
      <c r="P2">
        <v>2</v>
      </c>
      <c r="Q2">
        <v>1</v>
      </c>
      <c r="S2">
        <v>524.61</v>
      </c>
      <c r="T2" s="3">
        <f>(F2*100)/$S$2-100</f>
        <v>33.421412332806398</v>
      </c>
      <c r="U2" s="6">
        <f>(G2*100)/$S2-100</f>
        <v>17.525146878779324</v>
      </c>
      <c r="V2" s="3">
        <f>T2-U2</f>
        <v>15.896265454027073</v>
      </c>
    </row>
    <row r="3" spans="1:22" x14ac:dyDescent="0.25">
      <c r="A3" s="2" t="s">
        <v>18</v>
      </c>
      <c r="B3">
        <v>3</v>
      </c>
      <c r="C3">
        <v>50</v>
      </c>
      <c r="D3">
        <v>5</v>
      </c>
      <c r="E3">
        <v>160</v>
      </c>
      <c r="F3">
        <v>1806.0337130867761</v>
      </c>
      <c r="G3" s="5">
        <v>1576.102516789007</v>
      </c>
      <c r="H3">
        <v>35.296875</v>
      </c>
      <c r="I3">
        <v>4</v>
      </c>
      <c r="J3">
        <v>250</v>
      </c>
      <c r="K3">
        <v>7200</v>
      </c>
      <c r="L3">
        <v>720</v>
      </c>
      <c r="M3">
        <v>25</v>
      </c>
      <c r="N3">
        <v>14</v>
      </c>
      <c r="O3">
        <v>9</v>
      </c>
      <c r="P3">
        <v>3</v>
      </c>
      <c r="Q3">
        <v>1</v>
      </c>
      <c r="S3">
        <v>1322.87</v>
      </c>
      <c r="T3" s="3">
        <f t="shared" ref="T3:T33" si="0">(F3*100)/S3-100</f>
        <v>36.523899785071563</v>
      </c>
      <c r="U3" s="6">
        <f t="shared" ref="U3:U33" si="1">(G3*100)/$S3-100</f>
        <v>19.142660789722896</v>
      </c>
      <c r="V3" s="3">
        <f t="shared" ref="V3:V33" si="2">T3-U3</f>
        <v>17.381238995348667</v>
      </c>
    </row>
    <row r="4" spans="1:22" x14ac:dyDescent="0.25">
      <c r="A4" s="2" t="s">
        <v>19</v>
      </c>
      <c r="B4">
        <v>1</v>
      </c>
      <c r="C4">
        <v>50</v>
      </c>
      <c r="D4">
        <v>5</v>
      </c>
      <c r="E4">
        <v>160</v>
      </c>
      <c r="F4">
        <v>707.71782597313984</v>
      </c>
      <c r="G4" s="5">
        <v>644.63858577630526</v>
      </c>
      <c r="H4">
        <v>1.296875</v>
      </c>
      <c r="I4">
        <v>1</v>
      </c>
      <c r="J4">
        <v>250</v>
      </c>
      <c r="K4">
        <v>7200</v>
      </c>
      <c r="L4">
        <v>720</v>
      </c>
      <c r="M4">
        <v>4</v>
      </c>
      <c r="N4">
        <v>2</v>
      </c>
      <c r="O4">
        <v>0</v>
      </c>
      <c r="P4">
        <v>0</v>
      </c>
      <c r="Q4">
        <v>0</v>
      </c>
      <c r="S4">
        <v>524.61</v>
      </c>
      <c r="T4" s="3">
        <f t="shared" si="0"/>
        <v>34.903609533394302</v>
      </c>
      <c r="U4" s="6">
        <f t="shared" si="1"/>
        <v>22.879584029337082</v>
      </c>
      <c r="V4" s="3">
        <f t="shared" si="2"/>
        <v>12.024025504057221</v>
      </c>
    </row>
    <row r="5" spans="1:22" x14ac:dyDescent="0.25">
      <c r="A5" s="2" t="s">
        <v>20</v>
      </c>
      <c r="B5">
        <v>5</v>
      </c>
      <c r="C5">
        <v>75</v>
      </c>
      <c r="D5">
        <v>2</v>
      </c>
      <c r="E5">
        <v>140</v>
      </c>
      <c r="F5">
        <v>1191.564504632046</v>
      </c>
      <c r="G5" s="5">
        <v>1061.5680088637141</v>
      </c>
      <c r="H5">
        <v>23.8125</v>
      </c>
      <c r="I5">
        <v>4</v>
      </c>
      <c r="J5">
        <v>250</v>
      </c>
      <c r="K5">
        <v>7200</v>
      </c>
      <c r="L5">
        <v>720</v>
      </c>
      <c r="M5">
        <v>1</v>
      </c>
      <c r="N5">
        <v>1</v>
      </c>
      <c r="O5">
        <v>8</v>
      </c>
      <c r="P5">
        <v>5</v>
      </c>
      <c r="Q5">
        <v>1</v>
      </c>
      <c r="S5">
        <v>835.43</v>
      </c>
      <c r="T5" s="3">
        <f t="shared" si="0"/>
        <v>42.628886277970167</v>
      </c>
      <c r="U5" s="6">
        <f t="shared" si="1"/>
        <v>27.068456826270804</v>
      </c>
      <c r="V5" s="3">
        <f t="shared" si="2"/>
        <v>15.560429451699363</v>
      </c>
    </row>
    <row r="6" spans="1:22" x14ac:dyDescent="0.25">
      <c r="A6" s="2" t="s">
        <v>21</v>
      </c>
      <c r="B6">
        <v>6</v>
      </c>
      <c r="C6">
        <v>75</v>
      </c>
      <c r="D6">
        <v>5</v>
      </c>
      <c r="E6">
        <v>140</v>
      </c>
      <c r="F6">
        <v>2803.0667370561068</v>
      </c>
      <c r="G6" s="5">
        <v>2510.1809666295758</v>
      </c>
      <c r="H6">
        <v>65.765625</v>
      </c>
      <c r="I6">
        <v>4</v>
      </c>
      <c r="J6">
        <v>250</v>
      </c>
      <c r="K6">
        <v>7200</v>
      </c>
      <c r="L6">
        <v>720</v>
      </c>
      <c r="M6">
        <v>17</v>
      </c>
      <c r="N6">
        <v>6</v>
      </c>
      <c r="O6">
        <v>8</v>
      </c>
      <c r="P6">
        <v>7</v>
      </c>
      <c r="Q6">
        <v>0</v>
      </c>
      <c r="S6">
        <v>2027.99</v>
      </c>
      <c r="T6" s="3">
        <f t="shared" si="0"/>
        <v>38.21896247299577</v>
      </c>
      <c r="U6" s="6">
        <f t="shared" si="1"/>
        <v>23.77679212567989</v>
      </c>
      <c r="V6" s="3">
        <f t="shared" si="2"/>
        <v>14.44217034731588</v>
      </c>
    </row>
    <row r="7" spans="1:22" x14ac:dyDescent="0.25">
      <c r="A7" s="2" t="s">
        <v>22</v>
      </c>
      <c r="B7">
        <v>1</v>
      </c>
      <c r="C7">
        <v>75</v>
      </c>
      <c r="D7">
        <v>10</v>
      </c>
      <c r="E7">
        <v>140</v>
      </c>
      <c r="F7">
        <v>1202.7378153136131</v>
      </c>
      <c r="G7" s="5">
        <v>1069.122036491432</v>
      </c>
      <c r="H7">
        <v>3.65625</v>
      </c>
      <c r="I7">
        <v>1</v>
      </c>
      <c r="J7">
        <v>250</v>
      </c>
      <c r="K7">
        <v>7200</v>
      </c>
      <c r="L7">
        <v>720</v>
      </c>
      <c r="M7">
        <v>8</v>
      </c>
      <c r="N7">
        <v>4</v>
      </c>
      <c r="O7">
        <v>0</v>
      </c>
      <c r="P7">
        <v>0</v>
      </c>
      <c r="Q7">
        <v>0</v>
      </c>
      <c r="S7">
        <v>836.37</v>
      </c>
      <c r="T7" s="3">
        <f t="shared" si="0"/>
        <v>43.804514187932739</v>
      </c>
      <c r="U7" s="6">
        <f t="shared" si="1"/>
        <v>27.828836100222631</v>
      </c>
      <c r="V7" s="3">
        <f t="shared" si="2"/>
        <v>15.975678087710108</v>
      </c>
    </row>
    <row r="8" spans="1:22" x14ac:dyDescent="0.25">
      <c r="A8" s="2" t="s">
        <v>23</v>
      </c>
      <c r="B8">
        <v>4</v>
      </c>
      <c r="C8">
        <v>100</v>
      </c>
      <c r="D8">
        <v>2</v>
      </c>
      <c r="E8">
        <v>200</v>
      </c>
      <c r="F8">
        <v>1215.7122377784151</v>
      </c>
      <c r="G8" s="5">
        <v>1002.925835650611</v>
      </c>
      <c r="H8">
        <v>45.78125</v>
      </c>
      <c r="I8">
        <v>4</v>
      </c>
      <c r="J8">
        <v>250</v>
      </c>
      <c r="K8">
        <v>7200</v>
      </c>
      <c r="L8">
        <v>720</v>
      </c>
      <c r="M8">
        <v>19</v>
      </c>
      <c r="N8">
        <v>5</v>
      </c>
      <c r="O8">
        <v>46</v>
      </c>
      <c r="P8">
        <v>2</v>
      </c>
      <c r="Q8">
        <v>1</v>
      </c>
      <c r="S8">
        <v>826.14</v>
      </c>
      <c r="T8" s="3">
        <f t="shared" si="0"/>
        <v>47.155716679789776</v>
      </c>
      <c r="U8" s="6">
        <f t="shared" si="1"/>
        <v>21.399016589271909</v>
      </c>
      <c r="V8" s="3">
        <f t="shared" si="2"/>
        <v>25.756700090517867</v>
      </c>
    </row>
    <row r="9" spans="1:22" x14ac:dyDescent="0.25">
      <c r="A9" s="2" t="s">
        <v>24</v>
      </c>
      <c r="B9">
        <v>5</v>
      </c>
      <c r="C9">
        <v>100</v>
      </c>
      <c r="D9">
        <v>5</v>
      </c>
      <c r="E9">
        <v>200</v>
      </c>
      <c r="F9">
        <v>2739.4842456620681</v>
      </c>
      <c r="G9" s="5">
        <v>2622.3236313856719</v>
      </c>
      <c r="H9">
        <v>39.75</v>
      </c>
      <c r="I9">
        <v>4</v>
      </c>
      <c r="J9">
        <v>250</v>
      </c>
      <c r="K9">
        <v>7200</v>
      </c>
      <c r="L9">
        <v>720</v>
      </c>
      <c r="M9">
        <v>24</v>
      </c>
      <c r="N9">
        <v>5</v>
      </c>
      <c r="O9">
        <v>9</v>
      </c>
      <c r="P9">
        <v>0</v>
      </c>
      <c r="Q9">
        <v>0</v>
      </c>
      <c r="S9">
        <v>2034.15</v>
      </c>
      <c r="T9" s="3">
        <f t="shared" si="0"/>
        <v>34.674642758010378</v>
      </c>
      <c r="U9" s="6">
        <f t="shared" si="1"/>
        <v>28.914958650329226</v>
      </c>
      <c r="V9" s="3">
        <f t="shared" si="2"/>
        <v>5.7596841076811529</v>
      </c>
    </row>
    <row r="10" spans="1:22" x14ac:dyDescent="0.25">
      <c r="A10" s="2" t="s">
        <v>25</v>
      </c>
      <c r="B10">
        <v>1</v>
      </c>
      <c r="C10">
        <v>100</v>
      </c>
      <c r="D10">
        <v>8</v>
      </c>
      <c r="E10">
        <v>200</v>
      </c>
      <c r="F10">
        <v>1212.110570350635</v>
      </c>
      <c r="G10" s="5">
        <v>998.96451436774805</v>
      </c>
      <c r="H10">
        <v>6.171875</v>
      </c>
      <c r="I10">
        <v>1</v>
      </c>
      <c r="J10">
        <v>250</v>
      </c>
      <c r="K10">
        <v>7200</v>
      </c>
      <c r="L10">
        <v>720</v>
      </c>
      <c r="M10">
        <v>71</v>
      </c>
      <c r="N10">
        <v>1</v>
      </c>
      <c r="O10">
        <v>0</v>
      </c>
      <c r="P10">
        <v>0</v>
      </c>
      <c r="Q10">
        <v>0</v>
      </c>
      <c r="S10">
        <v>826.14</v>
      </c>
      <c r="T10" s="3">
        <f t="shared" si="0"/>
        <v>46.719753353019485</v>
      </c>
      <c r="U10" s="6">
        <f t="shared" si="1"/>
        <v>20.919519012243455</v>
      </c>
      <c r="V10" s="3">
        <f t="shared" si="2"/>
        <v>25.800234340776029</v>
      </c>
    </row>
    <row r="11" spans="1:22" x14ac:dyDescent="0.25">
      <c r="A11" s="2" t="s">
        <v>26</v>
      </c>
      <c r="B11">
        <v>4</v>
      </c>
      <c r="C11">
        <v>100</v>
      </c>
      <c r="D11">
        <v>5</v>
      </c>
      <c r="E11">
        <v>200</v>
      </c>
      <c r="F11">
        <v>2325.542031937076</v>
      </c>
      <c r="G11" s="5">
        <v>2045.8766974279649</v>
      </c>
      <c r="H11">
        <v>34.6875</v>
      </c>
      <c r="I11">
        <v>4</v>
      </c>
      <c r="J11">
        <v>250</v>
      </c>
      <c r="K11">
        <v>7200</v>
      </c>
      <c r="L11">
        <v>720</v>
      </c>
      <c r="M11">
        <v>63</v>
      </c>
      <c r="N11">
        <v>2</v>
      </c>
      <c r="O11">
        <v>8</v>
      </c>
      <c r="P11">
        <v>0</v>
      </c>
      <c r="Q11">
        <v>0</v>
      </c>
      <c r="S11">
        <v>1595.84</v>
      </c>
      <c r="T11" s="3">
        <f t="shared" si="0"/>
        <v>45.725262679032738</v>
      </c>
      <c r="U11" s="6">
        <f t="shared" si="1"/>
        <v>28.200615188738539</v>
      </c>
      <c r="V11" s="3">
        <f t="shared" si="2"/>
        <v>17.5246474902942</v>
      </c>
    </row>
    <row r="12" spans="1:22" x14ac:dyDescent="0.25">
      <c r="A12" s="2" t="s">
        <v>27</v>
      </c>
      <c r="B12">
        <v>4</v>
      </c>
      <c r="C12">
        <v>138</v>
      </c>
      <c r="D12">
        <v>5</v>
      </c>
      <c r="E12">
        <v>235</v>
      </c>
      <c r="F12">
        <v>1149.8347182885921</v>
      </c>
      <c r="G12" s="5">
        <v>1010.848082048644</v>
      </c>
      <c r="H12">
        <v>160.3125</v>
      </c>
      <c r="I12">
        <v>4</v>
      </c>
      <c r="J12">
        <v>250</v>
      </c>
      <c r="K12">
        <v>7200</v>
      </c>
      <c r="L12">
        <v>720</v>
      </c>
      <c r="M12">
        <v>114</v>
      </c>
      <c r="N12">
        <v>10</v>
      </c>
      <c r="O12">
        <v>34</v>
      </c>
      <c r="P12">
        <v>1</v>
      </c>
      <c r="Q12">
        <v>0</v>
      </c>
      <c r="S12">
        <v>779.29</v>
      </c>
      <c r="T12" s="3">
        <f t="shared" si="0"/>
        <v>47.549014909544866</v>
      </c>
      <c r="U12" s="6">
        <f t="shared" si="1"/>
        <v>29.713980937602685</v>
      </c>
      <c r="V12" s="3">
        <f t="shared" si="2"/>
        <v>17.835033971942181</v>
      </c>
    </row>
    <row r="13" spans="1:22" x14ac:dyDescent="0.25">
      <c r="A13" s="2" t="s">
        <v>28</v>
      </c>
      <c r="B13">
        <v>3</v>
      </c>
      <c r="C13">
        <v>163</v>
      </c>
      <c r="D13">
        <v>5</v>
      </c>
      <c r="E13">
        <v>140</v>
      </c>
      <c r="F13">
        <v>1746.675638572028</v>
      </c>
      <c r="G13" s="5">
        <v>1563.545636578637</v>
      </c>
      <c r="H13">
        <v>287.8125</v>
      </c>
      <c r="I13">
        <v>4</v>
      </c>
      <c r="J13">
        <v>250</v>
      </c>
      <c r="K13">
        <v>7200</v>
      </c>
      <c r="L13">
        <v>720</v>
      </c>
      <c r="M13">
        <v>135</v>
      </c>
      <c r="N13">
        <v>19</v>
      </c>
      <c r="O13">
        <v>69</v>
      </c>
      <c r="P13">
        <v>1</v>
      </c>
      <c r="Q13">
        <v>0</v>
      </c>
      <c r="S13">
        <v>1195.8800000000001</v>
      </c>
      <c r="T13" s="3">
        <f t="shared" si="0"/>
        <v>46.057768218552695</v>
      </c>
      <c r="U13" s="6">
        <f t="shared" si="1"/>
        <v>30.744358679686655</v>
      </c>
      <c r="V13" s="3">
        <f t="shared" si="2"/>
        <v>15.31340953886604</v>
      </c>
    </row>
    <row r="14" spans="1:22" ht="15.75" thickBot="1" x14ac:dyDescent="0.3">
      <c r="A14" s="2" t="s">
        <v>29</v>
      </c>
      <c r="B14">
        <v>9</v>
      </c>
      <c r="C14">
        <v>417</v>
      </c>
      <c r="D14">
        <v>7</v>
      </c>
      <c r="E14">
        <v>2000</v>
      </c>
      <c r="F14">
        <v>6334.1302932916942</v>
      </c>
      <c r="G14" s="5">
        <v>5198.8293688168114</v>
      </c>
      <c r="H14">
        <v>7228.859375</v>
      </c>
      <c r="I14">
        <v>4</v>
      </c>
      <c r="J14">
        <v>250</v>
      </c>
      <c r="K14">
        <v>7200</v>
      </c>
      <c r="L14">
        <v>720</v>
      </c>
      <c r="M14">
        <v>94</v>
      </c>
      <c r="N14">
        <v>125</v>
      </c>
      <c r="O14">
        <v>65</v>
      </c>
      <c r="P14">
        <v>5</v>
      </c>
      <c r="Q14">
        <v>0</v>
      </c>
      <c r="S14">
        <v>3511.62</v>
      </c>
      <c r="T14" s="3">
        <f t="shared" si="0"/>
        <v>80.376301914549259</v>
      </c>
      <c r="U14" s="6">
        <f t="shared" si="1"/>
        <v>48.046467693452342</v>
      </c>
      <c r="V14" s="3">
        <f t="shared" si="2"/>
        <v>32.329834221096917</v>
      </c>
    </row>
    <row r="15" spans="1:22" ht="15.75" thickBot="1" x14ac:dyDescent="0.3">
      <c r="A15" s="2" t="s">
        <v>30</v>
      </c>
      <c r="B15">
        <v>2</v>
      </c>
      <c r="C15">
        <v>20</v>
      </c>
      <c r="D15">
        <v>4</v>
      </c>
      <c r="E15">
        <v>20</v>
      </c>
      <c r="F15">
        <v>954.80711889752502</v>
      </c>
      <c r="G15" s="5">
        <v>954.80711889752502</v>
      </c>
      <c r="H15">
        <v>1.140625</v>
      </c>
      <c r="I15">
        <v>4</v>
      </c>
      <c r="J15">
        <v>250</v>
      </c>
      <c r="K15">
        <v>7200</v>
      </c>
      <c r="L15">
        <v>720</v>
      </c>
      <c r="M15">
        <v>0</v>
      </c>
      <c r="N15">
        <v>0</v>
      </c>
      <c r="O15">
        <v>0</v>
      </c>
      <c r="P15">
        <v>0</v>
      </c>
      <c r="Q15">
        <v>0</v>
      </c>
      <c r="S15">
        <v>954.81</v>
      </c>
      <c r="T15" s="3">
        <f t="shared" si="0"/>
        <v>-3.0174615629618984E-4</v>
      </c>
      <c r="U15" s="7">
        <f t="shared" si="1"/>
        <v>-3.0174615629618984E-4</v>
      </c>
      <c r="V15" s="8">
        <f t="shared" si="2"/>
        <v>0</v>
      </c>
    </row>
    <row r="16" spans="1:22" ht="15.75" thickBot="1" x14ac:dyDescent="0.3">
      <c r="A16" s="2" t="s">
        <v>31</v>
      </c>
      <c r="B16">
        <v>2</v>
      </c>
      <c r="C16">
        <v>38</v>
      </c>
      <c r="D16">
        <v>4</v>
      </c>
      <c r="E16">
        <v>30</v>
      </c>
      <c r="F16">
        <v>1899.885733385785</v>
      </c>
      <c r="G16" s="5">
        <v>1899.885733385785</v>
      </c>
      <c r="H16">
        <v>1.15625</v>
      </c>
      <c r="I16">
        <v>4</v>
      </c>
      <c r="J16">
        <v>250</v>
      </c>
      <c r="K16">
        <v>7200</v>
      </c>
      <c r="L16">
        <v>720</v>
      </c>
      <c r="M16">
        <v>0</v>
      </c>
      <c r="N16">
        <v>0</v>
      </c>
      <c r="O16">
        <v>0</v>
      </c>
      <c r="P16">
        <v>0</v>
      </c>
      <c r="Q16">
        <v>0</v>
      </c>
      <c r="S16">
        <v>1862.63</v>
      </c>
      <c r="T16" s="3">
        <f t="shared" si="0"/>
        <v>2.0001682237365941</v>
      </c>
      <c r="U16" s="7">
        <f t="shared" si="1"/>
        <v>2.0001682237365941</v>
      </c>
      <c r="V16" s="8">
        <f t="shared" si="2"/>
        <v>0</v>
      </c>
    </row>
    <row r="17" spans="1:22" ht="15.75" thickBot="1" x14ac:dyDescent="0.3">
      <c r="A17" s="2" t="s">
        <v>32</v>
      </c>
      <c r="B17">
        <v>2</v>
      </c>
      <c r="C17">
        <v>56</v>
      </c>
      <c r="D17">
        <v>4</v>
      </c>
      <c r="E17">
        <v>40</v>
      </c>
      <c r="F17">
        <v>3201.1465251106042</v>
      </c>
      <c r="G17" s="5">
        <v>3179.0510337214159</v>
      </c>
      <c r="H17">
        <v>2.34375</v>
      </c>
      <c r="I17">
        <v>4</v>
      </c>
      <c r="J17">
        <v>250</v>
      </c>
      <c r="K17">
        <v>7200</v>
      </c>
      <c r="L17">
        <v>720</v>
      </c>
      <c r="M17">
        <v>2</v>
      </c>
      <c r="N17">
        <v>0</v>
      </c>
      <c r="O17">
        <v>0</v>
      </c>
      <c r="P17">
        <v>0</v>
      </c>
      <c r="Q17">
        <v>0</v>
      </c>
      <c r="S17">
        <v>2875.24</v>
      </c>
      <c r="T17" s="3">
        <f t="shared" si="0"/>
        <v>11.334932913795171</v>
      </c>
      <c r="U17" s="6">
        <f t="shared" si="1"/>
        <v>10.566458233796695</v>
      </c>
      <c r="V17" s="3">
        <f t="shared" si="2"/>
        <v>0.76847467999847652</v>
      </c>
    </row>
    <row r="18" spans="1:22" ht="15.75" thickBot="1" x14ac:dyDescent="0.3">
      <c r="A18" s="2" t="s">
        <v>33</v>
      </c>
      <c r="B18">
        <v>4</v>
      </c>
      <c r="C18">
        <v>40</v>
      </c>
      <c r="D18">
        <v>4</v>
      </c>
      <c r="E18">
        <v>20</v>
      </c>
      <c r="F18">
        <v>1703.872161915519</v>
      </c>
      <c r="G18" s="5">
        <v>1703.872161915519</v>
      </c>
      <c r="H18">
        <v>1.46875</v>
      </c>
      <c r="I18">
        <v>4</v>
      </c>
      <c r="J18">
        <v>250</v>
      </c>
      <c r="K18">
        <v>7200</v>
      </c>
      <c r="L18">
        <v>720</v>
      </c>
      <c r="M18">
        <v>0</v>
      </c>
      <c r="N18">
        <v>0</v>
      </c>
      <c r="O18">
        <v>0</v>
      </c>
      <c r="P18">
        <v>0</v>
      </c>
      <c r="Q18">
        <v>0</v>
      </c>
      <c r="S18">
        <v>1597.75</v>
      </c>
      <c r="T18" s="3">
        <f t="shared" si="0"/>
        <v>6.6419753976228577</v>
      </c>
      <c r="U18" s="6">
        <f t="shared" si="1"/>
        <v>6.6419753976228577</v>
      </c>
      <c r="V18" s="8">
        <f t="shared" si="2"/>
        <v>0</v>
      </c>
    </row>
    <row r="19" spans="1:22" ht="15.75" thickBot="1" x14ac:dyDescent="0.3">
      <c r="A19" s="2" t="s">
        <v>34</v>
      </c>
      <c r="B19">
        <v>4</v>
      </c>
      <c r="C19">
        <v>76</v>
      </c>
      <c r="D19">
        <v>4</v>
      </c>
      <c r="E19">
        <v>30</v>
      </c>
      <c r="F19">
        <v>3217.167440359513</v>
      </c>
      <c r="G19" s="5">
        <v>3217.167440359513</v>
      </c>
      <c r="H19">
        <v>1.578125</v>
      </c>
      <c r="I19">
        <v>4</v>
      </c>
      <c r="J19">
        <v>250</v>
      </c>
      <c r="K19">
        <v>7200</v>
      </c>
      <c r="L19">
        <v>720</v>
      </c>
      <c r="M19">
        <v>0</v>
      </c>
      <c r="N19">
        <v>0</v>
      </c>
      <c r="O19">
        <v>0</v>
      </c>
      <c r="P19">
        <v>0</v>
      </c>
      <c r="Q19">
        <v>0</v>
      </c>
      <c r="S19">
        <v>3147.24</v>
      </c>
      <c r="T19" s="3">
        <f t="shared" si="0"/>
        <v>2.2218655189789445</v>
      </c>
      <c r="U19" s="7">
        <f t="shared" si="1"/>
        <v>2.2218655189789445</v>
      </c>
      <c r="V19" s="8">
        <f t="shared" si="2"/>
        <v>0</v>
      </c>
    </row>
    <row r="20" spans="1:22" ht="15.75" thickBot="1" x14ac:dyDescent="0.3">
      <c r="A20" s="2" t="s">
        <v>35</v>
      </c>
      <c r="B20">
        <v>4</v>
      </c>
      <c r="C20">
        <v>112</v>
      </c>
      <c r="D20">
        <v>4</v>
      </c>
      <c r="E20">
        <v>40</v>
      </c>
      <c r="F20">
        <v>4855.7678865271791</v>
      </c>
      <c r="G20" s="5">
        <v>4855.7678865271791</v>
      </c>
      <c r="H20">
        <v>2.484375</v>
      </c>
      <c r="I20">
        <v>4</v>
      </c>
      <c r="J20">
        <v>250</v>
      </c>
      <c r="K20">
        <v>7200</v>
      </c>
      <c r="L20">
        <v>720</v>
      </c>
      <c r="M20">
        <v>0</v>
      </c>
      <c r="N20">
        <v>0</v>
      </c>
      <c r="O20">
        <v>0</v>
      </c>
      <c r="P20">
        <v>0</v>
      </c>
      <c r="Q20">
        <v>0</v>
      </c>
      <c r="S20">
        <v>4834.34</v>
      </c>
      <c r="T20" s="3">
        <f t="shared" si="0"/>
        <v>0.44324326644751011</v>
      </c>
      <c r="U20" s="7">
        <f t="shared" si="1"/>
        <v>0.44324326644751011</v>
      </c>
      <c r="V20" s="8">
        <f t="shared" si="2"/>
        <v>0</v>
      </c>
    </row>
    <row r="21" spans="1:22" ht="15.75" thickBot="1" x14ac:dyDescent="0.3">
      <c r="A21" s="2" t="s">
        <v>36</v>
      </c>
      <c r="B21">
        <v>4</v>
      </c>
      <c r="C21">
        <v>184</v>
      </c>
      <c r="D21">
        <v>4</v>
      </c>
      <c r="E21">
        <v>60</v>
      </c>
      <c r="F21">
        <v>9441.6174868667931</v>
      </c>
      <c r="G21" s="5">
        <v>9441.6174868667931</v>
      </c>
      <c r="H21">
        <v>5.359375</v>
      </c>
      <c r="I21">
        <v>4</v>
      </c>
      <c r="J21">
        <v>250</v>
      </c>
      <c r="K21">
        <v>7200</v>
      </c>
      <c r="L21">
        <v>720</v>
      </c>
      <c r="M21">
        <v>0</v>
      </c>
      <c r="N21">
        <v>0</v>
      </c>
      <c r="O21">
        <v>0</v>
      </c>
      <c r="P21">
        <v>0</v>
      </c>
      <c r="Q21">
        <v>0</v>
      </c>
      <c r="S21">
        <v>8367.4</v>
      </c>
      <c r="T21" s="3">
        <f t="shared" si="0"/>
        <v>12.838127576867279</v>
      </c>
      <c r="U21" s="6">
        <f t="shared" si="1"/>
        <v>12.838127576867279</v>
      </c>
      <c r="V21" s="8">
        <f t="shared" si="2"/>
        <v>0</v>
      </c>
    </row>
    <row r="22" spans="1:22" ht="15.75" thickBot="1" x14ac:dyDescent="0.3">
      <c r="A22" s="2" t="s">
        <v>37</v>
      </c>
      <c r="B22">
        <v>6</v>
      </c>
      <c r="C22">
        <v>60</v>
      </c>
      <c r="D22">
        <v>4</v>
      </c>
      <c r="E22">
        <v>20</v>
      </c>
      <c r="F22">
        <v>2476.4553897065998</v>
      </c>
      <c r="G22" s="5">
        <v>2476.4553897065998</v>
      </c>
      <c r="H22">
        <v>2.046875</v>
      </c>
      <c r="I22">
        <v>4</v>
      </c>
      <c r="J22">
        <v>250</v>
      </c>
      <c r="K22">
        <v>7200</v>
      </c>
      <c r="L22">
        <v>720</v>
      </c>
      <c r="M22">
        <v>0</v>
      </c>
      <c r="N22">
        <v>0</v>
      </c>
      <c r="O22">
        <v>0</v>
      </c>
      <c r="P22">
        <v>0</v>
      </c>
      <c r="Q22">
        <v>0</v>
      </c>
      <c r="S22">
        <v>2184.04</v>
      </c>
      <c r="T22" s="3">
        <f t="shared" si="0"/>
        <v>13.38873783019541</v>
      </c>
      <c r="U22" s="6">
        <f t="shared" si="1"/>
        <v>13.38873783019541</v>
      </c>
      <c r="V22" s="8">
        <f t="shared" si="2"/>
        <v>0</v>
      </c>
    </row>
    <row r="23" spans="1:22" ht="15.75" thickBot="1" x14ac:dyDescent="0.3">
      <c r="A23" s="2" t="s">
        <v>38</v>
      </c>
      <c r="B23">
        <v>6</v>
      </c>
      <c r="C23">
        <v>114</v>
      </c>
      <c r="D23">
        <v>4</v>
      </c>
      <c r="E23">
        <v>30</v>
      </c>
      <c r="F23">
        <v>4608.9469410204683</v>
      </c>
      <c r="G23" s="5">
        <v>4608.9469410204683</v>
      </c>
      <c r="H23">
        <v>2.703125</v>
      </c>
      <c r="I23">
        <v>4</v>
      </c>
      <c r="J23">
        <v>250</v>
      </c>
      <c r="K23">
        <v>7200</v>
      </c>
      <c r="L23">
        <v>720</v>
      </c>
      <c r="M23">
        <v>0</v>
      </c>
      <c r="N23">
        <v>0</v>
      </c>
      <c r="O23">
        <v>0</v>
      </c>
      <c r="P23">
        <v>0</v>
      </c>
      <c r="Q23">
        <v>0</v>
      </c>
      <c r="S23">
        <v>4271.1099999999997</v>
      </c>
      <c r="T23" s="3">
        <f t="shared" si="0"/>
        <v>7.9098159733762117</v>
      </c>
      <c r="U23" s="6">
        <f t="shared" si="1"/>
        <v>7.9098159733762117</v>
      </c>
      <c r="V23" s="8">
        <f t="shared" si="2"/>
        <v>0</v>
      </c>
    </row>
    <row r="24" spans="1:22" ht="15.75" thickBot="1" x14ac:dyDescent="0.3">
      <c r="A24" s="2" t="s">
        <v>39</v>
      </c>
      <c r="B24">
        <v>6</v>
      </c>
      <c r="C24">
        <v>168</v>
      </c>
      <c r="D24">
        <v>4</v>
      </c>
      <c r="E24">
        <v>40</v>
      </c>
      <c r="F24">
        <v>6836.8705930980686</v>
      </c>
      <c r="G24" s="5">
        <v>6836.8705930980686</v>
      </c>
      <c r="H24">
        <v>4.4375</v>
      </c>
      <c r="I24">
        <v>4</v>
      </c>
      <c r="J24">
        <v>250</v>
      </c>
      <c r="K24">
        <v>7200</v>
      </c>
      <c r="L24">
        <v>720</v>
      </c>
      <c r="M24">
        <v>0</v>
      </c>
      <c r="N24">
        <v>0</v>
      </c>
      <c r="O24">
        <v>0</v>
      </c>
      <c r="P24">
        <v>0</v>
      </c>
      <c r="Q24">
        <v>0</v>
      </c>
      <c r="S24">
        <v>6602.59</v>
      </c>
      <c r="T24" s="3">
        <f t="shared" si="0"/>
        <v>3.5483135117896012</v>
      </c>
      <c r="U24" s="7">
        <f t="shared" si="1"/>
        <v>3.5483135117896012</v>
      </c>
      <c r="V24" s="8">
        <f t="shared" si="2"/>
        <v>0</v>
      </c>
    </row>
    <row r="25" spans="1:22" x14ac:dyDescent="0.25">
      <c r="A25" s="2" t="s">
        <v>40</v>
      </c>
      <c r="B25">
        <v>3</v>
      </c>
      <c r="C25">
        <v>51</v>
      </c>
      <c r="D25">
        <v>6</v>
      </c>
      <c r="E25">
        <v>20</v>
      </c>
      <c r="F25">
        <v>5108.7119591551709</v>
      </c>
      <c r="G25" s="5">
        <v>4433.5512234255484</v>
      </c>
      <c r="H25">
        <v>22.75</v>
      </c>
      <c r="I25">
        <v>4</v>
      </c>
      <c r="J25">
        <v>250</v>
      </c>
      <c r="K25">
        <v>7200</v>
      </c>
      <c r="L25">
        <v>720</v>
      </c>
      <c r="M25">
        <v>44</v>
      </c>
      <c r="N25">
        <v>4</v>
      </c>
      <c r="O25">
        <v>8</v>
      </c>
      <c r="P25">
        <v>1</v>
      </c>
      <c r="Q25">
        <v>0</v>
      </c>
      <c r="S25">
        <v>3687.46</v>
      </c>
      <c r="T25" s="3">
        <f t="shared" si="0"/>
        <v>38.542844102855923</v>
      </c>
      <c r="U25" s="6">
        <f t="shared" si="1"/>
        <v>20.233201808983651</v>
      </c>
      <c r="V25" s="3">
        <f t="shared" si="2"/>
        <v>18.309642293872272</v>
      </c>
    </row>
    <row r="26" spans="1:22" x14ac:dyDescent="0.25">
      <c r="A26" s="2" t="s">
        <v>41</v>
      </c>
      <c r="B26">
        <v>3</v>
      </c>
      <c r="C26">
        <v>51</v>
      </c>
      <c r="D26">
        <v>6</v>
      </c>
      <c r="E26">
        <v>20</v>
      </c>
      <c r="F26">
        <v>5108.7119591551709</v>
      </c>
      <c r="G26" s="5">
        <v>4433.5512234255484</v>
      </c>
      <c r="H26">
        <v>22.859375</v>
      </c>
      <c r="I26">
        <v>4</v>
      </c>
      <c r="J26">
        <v>250</v>
      </c>
      <c r="K26">
        <v>7200</v>
      </c>
      <c r="L26">
        <v>720</v>
      </c>
      <c r="M26">
        <v>44</v>
      </c>
      <c r="N26">
        <v>4</v>
      </c>
      <c r="O26">
        <v>8</v>
      </c>
      <c r="P26">
        <v>1</v>
      </c>
      <c r="Q26">
        <v>0</v>
      </c>
      <c r="S26">
        <v>3777.15</v>
      </c>
      <c r="T26" s="3">
        <f t="shared" si="0"/>
        <v>35.253086564080604</v>
      </c>
      <c r="U26" s="6">
        <f t="shared" si="1"/>
        <v>17.378214352767259</v>
      </c>
      <c r="V26" s="3">
        <f t="shared" si="2"/>
        <v>17.874872211313345</v>
      </c>
    </row>
    <row r="27" spans="1:22" x14ac:dyDescent="0.25">
      <c r="A27" s="2" t="s">
        <v>42</v>
      </c>
      <c r="B27">
        <v>3</v>
      </c>
      <c r="C27">
        <v>51</v>
      </c>
      <c r="D27">
        <v>6</v>
      </c>
      <c r="E27">
        <v>20</v>
      </c>
      <c r="F27">
        <v>5095.5001427590814</v>
      </c>
      <c r="G27" s="5">
        <v>4472.4631330041657</v>
      </c>
      <c r="H27">
        <v>19.4375</v>
      </c>
      <c r="I27">
        <v>4</v>
      </c>
      <c r="J27">
        <v>250</v>
      </c>
      <c r="K27">
        <v>7200</v>
      </c>
      <c r="L27">
        <v>720</v>
      </c>
      <c r="M27">
        <v>32</v>
      </c>
      <c r="N27">
        <v>6</v>
      </c>
      <c r="O27">
        <v>3</v>
      </c>
      <c r="P27">
        <v>1</v>
      </c>
      <c r="Q27">
        <v>0</v>
      </c>
      <c r="S27">
        <v>3795.33</v>
      </c>
      <c r="T27" s="3">
        <f t="shared" si="0"/>
        <v>34.257103934548013</v>
      </c>
      <c r="U27" s="6">
        <f t="shared" si="1"/>
        <v>17.841218892801564</v>
      </c>
      <c r="V27" s="3">
        <f t="shared" si="2"/>
        <v>16.415885041746449</v>
      </c>
    </row>
    <row r="28" spans="1:22" x14ac:dyDescent="0.25">
      <c r="A28" s="2" t="s">
        <v>43</v>
      </c>
      <c r="B28">
        <v>6</v>
      </c>
      <c r="C28">
        <v>102</v>
      </c>
      <c r="D28">
        <v>6</v>
      </c>
      <c r="E28">
        <v>20</v>
      </c>
      <c r="F28">
        <v>33794.612677890836</v>
      </c>
      <c r="G28" s="5">
        <v>29171.897845536791</v>
      </c>
      <c r="H28">
        <v>164.34375</v>
      </c>
      <c r="I28">
        <v>4</v>
      </c>
      <c r="J28">
        <v>250</v>
      </c>
      <c r="K28">
        <v>7200</v>
      </c>
      <c r="L28">
        <v>720</v>
      </c>
      <c r="M28">
        <v>84</v>
      </c>
      <c r="N28">
        <v>14</v>
      </c>
      <c r="O28">
        <v>17</v>
      </c>
      <c r="P28">
        <v>1</v>
      </c>
      <c r="Q28">
        <v>0</v>
      </c>
      <c r="S28">
        <v>21956.46</v>
      </c>
      <c r="T28" s="3">
        <f t="shared" si="0"/>
        <v>53.916490535773249</v>
      </c>
      <c r="U28" s="6">
        <f t="shared" si="1"/>
        <v>32.86248259298992</v>
      </c>
      <c r="V28" s="3">
        <f t="shared" si="2"/>
        <v>21.054007942783329</v>
      </c>
    </row>
    <row r="29" spans="1:22" x14ac:dyDescent="0.25">
      <c r="A29" s="2" t="s">
        <v>44</v>
      </c>
      <c r="B29">
        <v>6</v>
      </c>
      <c r="C29">
        <v>102</v>
      </c>
      <c r="D29">
        <v>6</v>
      </c>
      <c r="E29">
        <v>20</v>
      </c>
      <c r="F29">
        <v>33794.612677890836</v>
      </c>
      <c r="G29" s="5">
        <v>29835.703748496278</v>
      </c>
      <c r="H29">
        <v>177.96875</v>
      </c>
      <c r="I29">
        <v>4</v>
      </c>
      <c r="J29">
        <v>250</v>
      </c>
      <c r="K29">
        <v>7200</v>
      </c>
      <c r="L29">
        <v>720</v>
      </c>
      <c r="M29">
        <v>83</v>
      </c>
      <c r="N29">
        <v>15</v>
      </c>
      <c r="O29">
        <v>17</v>
      </c>
      <c r="P29">
        <v>2</v>
      </c>
      <c r="Q29">
        <v>0</v>
      </c>
      <c r="S29">
        <v>22934.71</v>
      </c>
      <c r="T29" s="3">
        <f t="shared" si="0"/>
        <v>47.351384333574913</v>
      </c>
      <c r="U29" s="6">
        <f t="shared" si="1"/>
        <v>30.089736249101378</v>
      </c>
      <c r="V29" s="3">
        <f t="shared" si="2"/>
        <v>17.261648084473535</v>
      </c>
    </row>
    <row r="30" spans="1:22" x14ac:dyDescent="0.25">
      <c r="A30" s="2" t="s">
        <v>45</v>
      </c>
      <c r="B30">
        <v>6</v>
      </c>
      <c r="C30">
        <v>102</v>
      </c>
      <c r="D30">
        <v>6</v>
      </c>
      <c r="E30">
        <v>20</v>
      </c>
      <c r="F30">
        <v>34142.254083445099</v>
      </c>
      <c r="G30" s="5">
        <v>30686.209708643979</v>
      </c>
      <c r="H30">
        <v>181.125</v>
      </c>
      <c r="I30">
        <v>4</v>
      </c>
      <c r="J30">
        <v>250</v>
      </c>
      <c r="K30">
        <v>7200</v>
      </c>
      <c r="L30">
        <v>720</v>
      </c>
      <c r="M30">
        <v>62</v>
      </c>
      <c r="N30">
        <v>32</v>
      </c>
      <c r="O30">
        <v>15</v>
      </c>
      <c r="P30">
        <v>2</v>
      </c>
      <c r="Q30">
        <v>0</v>
      </c>
      <c r="S30">
        <v>22909.360000000001</v>
      </c>
      <c r="T30" s="3">
        <f t="shared" si="0"/>
        <v>49.031898243534954</v>
      </c>
      <c r="U30" s="6">
        <f t="shared" si="1"/>
        <v>33.946167455764709</v>
      </c>
      <c r="V30" s="3">
        <f t="shared" si="2"/>
        <v>15.085730787770245</v>
      </c>
    </row>
    <row r="31" spans="1:22" x14ac:dyDescent="0.25">
      <c r="A31" s="2" t="s">
        <v>46</v>
      </c>
      <c r="B31">
        <v>9</v>
      </c>
      <c r="C31">
        <v>153</v>
      </c>
      <c r="D31">
        <v>6</v>
      </c>
      <c r="E31">
        <v>20</v>
      </c>
      <c r="F31">
        <v>125606.574243333</v>
      </c>
      <c r="G31" s="5">
        <v>104605.1556166919</v>
      </c>
      <c r="H31">
        <v>1049.765625</v>
      </c>
      <c r="I31">
        <v>4</v>
      </c>
      <c r="J31">
        <v>250</v>
      </c>
      <c r="K31">
        <v>7200</v>
      </c>
      <c r="L31">
        <v>720</v>
      </c>
      <c r="M31">
        <v>94</v>
      </c>
      <c r="N31">
        <v>15</v>
      </c>
      <c r="O31">
        <v>35</v>
      </c>
      <c r="P31">
        <v>5</v>
      </c>
      <c r="Q31">
        <v>0</v>
      </c>
      <c r="S31">
        <v>75016.58</v>
      </c>
      <c r="T31" s="3">
        <f t="shared" si="0"/>
        <v>67.438417271665799</v>
      </c>
      <c r="U31" s="6">
        <f t="shared" si="1"/>
        <v>39.44271468612925</v>
      </c>
      <c r="V31" s="3">
        <f t="shared" si="2"/>
        <v>27.995702585536549</v>
      </c>
    </row>
    <row r="32" spans="1:22" x14ac:dyDescent="0.25">
      <c r="A32" s="2" t="s">
        <v>47</v>
      </c>
      <c r="B32">
        <v>9</v>
      </c>
      <c r="C32">
        <v>153</v>
      </c>
      <c r="D32">
        <v>6</v>
      </c>
      <c r="E32">
        <v>20</v>
      </c>
      <c r="F32">
        <v>127635.67882667739</v>
      </c>
      <c r="G32" s="5">
        <v>102434.0655737356</v>
      </c>
      <c r="H32">
        <v>1309.890625</v>
      </c>
      <c r="I32">
        <v>4</v>
      </c>
      <c r="J32">
        <v>250</v>
      </c>
      <c r="K32">
        <v>7200</v>
      </c>
      <c r="L32">
        <v>720</v>
      </c>
      <c r="M32">
        <v>156</v>
      </c>
      <c r="N32">
        <v>46</v>
      </c>
      <c r="O32">
        <v>41</v>
      </c>
      <c r="P32">
        <v>3</v>
      </c>
      <c r="Q32">
        <v>2</v>
      </c>
      <c r="S32">
        <v>78179.89</v>
      </c>
      <c r="T32" s="3">
        <f t="shared" si="0"/>
        <v>63.258964455792125</v>
      </c>
      <c r="U32" s="6">
        <f t="shared" si="1"/>
        <v>31.02354783785907</v>
      </c>
      <c r="V32" s="3">
        <f t="shared" si="2"/>
        <v>32.235416617933055</v>
      </c>
    </row>
    <row r="33" spans="1:22" x14ac:dyDescent="0.25">
      <c r="A33" s="2" t="s">
        <v>48</v>
      </c>
      <c r="B33">
        <v>9</v>
      </c>
      <c r="C33">
        <v>153</v>
      </c>
      <c r="D33">
        <v>6</v>
      </c>
      <c r="E33">
        <v>20</v>
      </c>
      <c r="F33">
        <v>126353.9267526294</v>
      </c>
      <c r="G33" s="5">
        <v>106085.6821163617</v>
      </c>
      <c r="H33">
        <v>702.390625</v>
      </c>
      <c r="I33">
        <v>4</v>
      </c>
      <c r="J33">
        <v>250</v>
      </c>
      <c r="K33">
        <v>7200</v>
      </c>
      <c r="L33">
        <v>720</v>
      </c>
      <c r="M33">
        <v>84</v>
      </c>
      <c r="N33">
        <v>25</v>
      </c>
      <c r="O33">
        <v>15</v>
      </c>
      <c r="P33">
        <v>3</v>
      </c>
      <c r="Q33">
        <v>0</v>
      </c>
      <c r="S33">
        <v>80479.199999999997</v>
      </c>
      <c r="T33" s="3">
        <f t="shared" si="0"/>
        <v>57.00196666049041</v>
      </c>
      <c r="U33" s="6">
        <f t="shared" si="1"/>
        <v>31.817515726251884</v>
      </c>
      <c r="V33" s="3">
        <f t="shared" si="2"/>
        <v>25.184450934238527</v>
      </c>
    </row>
    <row r="35" spans="1:22" x14ac:dyDescent="0.25">
      <c r="T35" s="3">
        <f>SUM(T2:T33)/32</f>
        <v>33.879336864738725</v>
      </c>
      <c r="U35" s="6">
        <f>SUM(U2:U33)/32</f>
        <v>20.636049902832532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8E1B-C653-4C7C-93E9-B6FF0A7173CD}">
  <dimension ref="A1:AQ41"/>
  <sheetViews>
    <sheetView tabSelected="1" zoomScale="83" workbookViewId="0">
      <pane xSplit="1" topLeftCell="B1" activePane="topRight" state="frozen"/>
      <selection pane="topRight" activeCell="T11" sqref="T11"/>
    </sheetView>
  </sheetViews>
  <sheetFormatPr defaultRowHeight="15" x14ac:dyDescent="0.25"/>
  <cols>
    <col min="5" max="7" width="13.7109375" customWidth="1"/>
    <col min="19" max="22" width="13.7109375" customWidth="1"/>
    <col min="24" max="25" width="13.7109375" customWidth="1"/>
    <col min="29" max="30" width="13.7109375" customWidth="1"/>
    <col min="32" max="33" width="13.7109375" customWidth="1"/>
  </cols>
  <sheetData>
    <row r="1" spans="1:43" ht="15.75" thickBot="1" x14ac:dyDescent="0.3">
      <c r="A1" s="3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51</v>
      </c>
      <c r="T1" s="1" t="s">
        <v>49</v>
      </c>
      <c r="U1" s="4" t="s">
        <v>50</v>
      </c>
      <c r="V1" s="1" t="s">
        <v>52</v>
      </c>
      <c r="X1" s="24" t="s">
        <v>6</v>
      </c>
      <c r="Y1" s="1" t="s">
        <v>7</v>
      </c>
      <c r="Z1" s="24" t="s">
        <v>50</v>
      </c>
      <c r="AA1" t="s">
        <v>57</v>
      </c>
      <c r="AC1" s="36" t="s">
        <v>6</v>
      </c>
      <c r="AD1" s="1" t="s">
        <v>7</v>
      </c>
      <c r="AE1" s="36" t="s">
        <v>50</v>
      </c>
      <c r="AF1" t="s">
        <v>57</v>
      </c>
      <c r="AG1" t="s">
        <v>62</v>
      </c>
      <c r="AH1" s="1" t="s">
        <v>12</v>
      </c>
      <c r="AI1" s="1" t="s">
        <v>13</v>
      </c>
      <c r="AJ1" s="1" t="s">
        <v>14</v>
      </c>
      <c r="AK1" s="1" t="s">
        <v>16</v>
      </c>
      <c r="AL1" s="1" t="s">
        <v>15</v>
      </c>
      <c r="AM1" s="38" t="s">
        <v>12</v>
      </c>
      <c r="AN1" s="38" t="s">
        <v>13</v>
      </c>
      <c r="AO1" s="38" t="s">
        <v>14</v>
      </c>
      <c r="AP1" s="40" t="s">
        <v>16</v>
      </c>
      <c r="AQ1" s="38" t="s">
        <v>15</v>
      </c>
    </row>
    <row r="2" spans="1:43" ht="15.75" thickBot="1" x14ac:dyDescent="0.3">
      <c r="A2" s="30" t="s">
        <v>17</v>
      </c>
      <c r="B2">
        <v>3</v>
      </c>
      <c r="C2">
        <v>51</v>
      </c>
      <c r="D2">
        <v>2</v>
      </c>
      <c r="E2">
        <v>160</v>
      </c>
      <c r="F2">
        <v>699.94207123913566</v>
      </c>
      <c r="G2" s="5">
        <v>599.81795982436461</v>
      </c>
      <c r="H2">
        <v>15.109375</v>
      </c>
      <c r="I2">
        <v>4</v>
      </c>
      <c r="J2">
        <v>500</v>
      </c>
      <c r="K2">
        <v>7200</v>
      </c>
      <c r="L2">
        <v>720</v>
      </c>
      <c r="M2">
        <v>3</v>
      </c>
      <c r="N2">
        <v>2</v>
      </c>
      <c r="O2">
        <v>3</v>
      </c>
      <c r="P2">
        <v>4</v>
      </c>
      <c r="Q2">
        <v>0</v>
      </c>
      <c r="S2">
        <v>524.61</v>
      </c>
      <c r="T2" s="3">
        <f>(F2*100)/$S2-100</f>
        <v>33.421412332806398</v>
      </c>
      <c r="U2" s="6">
        <f>(G2*100)/$S2-100</f>
        <v>14.33597526245488</v>
      </c>
      <c r="V2" s="3">
        <f>T2-U2</f>
        <v>19.085437070351517</v>
      </c>
      <c r="X2" s="23">
        <v>599.81795982436461</v>
      </c>
      <c r="Y2">
        <v>15.390625</v>
      </c>
      <c r="Z2" s="22">
        <f>(X2*100)/$S2-100</f>
        <v>14.33597526245488</v>
      </c>
      <c r="AA2">
        <f>G2-X2</f>
        <v>0</v>
      </c>
      <c r="AC2" s="37">
        <v>599.89571600522709</v>
      </c>
      <c r="AD2">
        <v>21.515625</v>
      </c>
      <c r="AE2" s="35">
        <f>(AC2*100)/$S2-100</f>
        <v>14.350796973985837</v>
      </c>
      <c r="AF2">
        <f>AC2-X2</f>
        <v>7.7756180862479596E-2</v>
      </c>
      <c r="AG2" s="3">
        <f>AE2-Z2</f>
        <v>1.482171153095635E-2</v>
      </c>
      <c r="AH2">
        <v>2</v>
      </c>
      <c r="AI2">
        <v>1</v>
      </c>
      <c r="AJ2">
        <v>4</v>
      </c>
      <c r="AK2">
        <v>4</v>
      </c>
      <c r="AL2">
        <v>2</v>
      </c>
      <c r="AM2" s="37">
        <f>AH2-M2</f>
        <v>-1</v>
      </c>
      <c r="AN2" s="37">
        <f t="shared" ref="AN2:AQ2" si="0">AI2-N2</f>
        <v>-1</v>
      </c>
      <c r="AO2" s="37">
        <f t="shared" si="0"/>
        <v>1</v>
      </c>
      <c r="AP2" s="39">
        <f>AK2-Q2</f>
        <v>4</v>
      </c>
      <c r="AQ2" s="37">
        <f>AL2-P2</f>
        <v>-2</v>
      </c>
    </row>
    <row r="3" spans="1:43" ht="15.75" thickBot="1" x14ac:dyDescent="0.3">
      <c r="A3" s="30" t="s">
        <v>18</v>
      </c>
      <c r="B3">
        <v>3</v>
      </c>
      <c r="C3">
        <v>50</v>
      </c>
      <c r="D3">
        <v>5</v>
      </c>
      <c r="E3">
        <v>160</v>
      </c>
      <c r="F3">
        <v>1806.0337130867761</v>
      </c>
      <c r="G3" s="5">
        <v>1553.535876004692</v>
      </c>
      <c r="H3">
        <v>53.046875</v>
      </c>
      <c r="I3">
        <v>4</v>
      </c>
      <c r="J3">
        <v>500</v>
      </c>
      <c r="K3">
        <v>7200</v>
      </c>
      <c r="L3">
        <v>720</v>
      </c>
      <c r="M3">
        <v>29</v>
      </c>
      <c r="N3">
        <v>8</v>
      </c>
      <c r="O3">
        <v>9</v>
      </c>
      <c r="P3">
        <v>2</v>
      </c>
      <c r="Q3">
        <v>0</v>
      </c>
      <c r="S3">
        <v>1322.87</v>
      </c>
      <c r="T3" s="3">
        <f t="shared" ref="T3:U33" si="1">(F3*100)/$S3-100</f>
        <v>36.523899785071563</v>
      </c>
      <c r="U3" s="6">
        <f t="shared" si="1"/>
        <v>17.436775798430105</v>
      </c>
      <c r="V3" s="3">
        <f t="shared" ref="V3:V33" si="2">T3-U3</f>
        <v>19.087123986641458</v>
      </c>
      <c r="X3" s="23">
        <v>1553.535876004692</v>
      </c>
      <c r="Y3">
        <v>51.59375</v>
      </c>
      <c r="Z3" s="22">
        <f t="shared" ref="Z3:Z33" si="3">(X3*100)/$S3-100</f>
        <v>17.436775798430105</v>
      </c>
      <c r="AA3">
        <f t="shared" ref="AA3:AA33" si="4">G3-X3</f>
        <v>0</v>
      </c>
      <c r="AC3" s="37">
        <v>1563.56543105265</v>
      </c>
      <c r="AD3">
        <v>45.84375</v>
      </c>
      <c r="AE3" s="35">
        <f t="shared" ref="AE3:AE32" si="5">(AC3*100)/$S3-100</f>
        <v>18.194942137371797</v>
      </c>
      <c r="AF3">
        <f t="shared" ref="AF3:AF33" si="6">AC3-X3</f>
        <v>10.029555047957956</v>
      </c>
      <c r="AG3" s="3">
        <f t="shared" ref="AG3:AG33" si="7">AE3-Z3</f>
        <v>0.75816633894169172</v>
      </c>
      <c r="AH3">
        <v>21</v>
      </c>
      <c r="AI3">
        <v>7</v>
      </c>
      <c r="AJ3">
        <v>9</v>
      </c>
      <c r="AK3">
        <v>1</v>
      </c>
      <c r="AL3">
        <v>0</v>
      </c>
      <c r="AM3" s="39">
        <f t="shared" ref="AM3:AM33" si="8">AH3-M3</f>
        <v>-8</v>
      </c>
      <c r="AN3" s="37">
        <f t="shared" ref="AN3:AN33" si="9">AI3-N3</f>
        <v>-1</v>
      </c>
      <c r="AO3" s="37">
        <f t="shared" ref="AO3:AO33" si="10">AJ3-O3</f>
        <v>0</v>
      </c>
      <c r="AP3" s="37">
        <f t="shared" ref="AP3:AP33" si="11">AK3-Q3</f>
        <v>1</v>
      </c>
      <c r="AQ3" s="37">
        <f t="shared" ref="AQ3:AQ33" si="12">AL3-P3</f>
        <v>-2</v>
      </c>
    </row>
    <row r="4" spans="1:43" ht="15.75" thickBot="1" x14ac:dyDescent="0.3">
      <c r="A4" s="30" t="s">
        <v>19</v>
      </c>
      <c r="B4">
        <v>1</v>
      </c>
      <c r="C4">
        <v>50</v>
      </c>
      <c r="D4">
        <v>5</v>
      </c>
      <c r="E4">
        <v>160</v>
      </c>
      <c r="F4">
        <v>707.71782597313984</v>
      </c>
      <c r="G4" s="5">
        <v>631.5644526152646</v>
      </c>
      <c r="H4">
        <v>5.921875</v>
      </c>
      <c r="I4">
        <v>1</v>
      </c>
      <c r="J4">
        <v>500</v>
      </c>
      <c r="K4">
        <v>7200</v>
      </c>
      <c r="L4">
        <v>720</v>
      </c>
      <c r="M4">
        <v>6</v>
      </c>
      <c r="N4">
        <v>8</v>
      </c>
      <c r="O4">
        <v>0</v>
      </c>
      <c r="P4">
        <v>0</v>
      </c>
      <c r="Q4">
        <v>0</v>
      </c>
      <c r="S4">
        <v>524.61</v>
      </c>
      <c r="T4" s="3">
        <f t="shared" si="1"/>
        <v>34.903609533394302</v>
      </c>
      <c r="U4" s="6">
        <f t="shared" si="1"/>
        <v>20.387421630404418</v>
      </c>
      <c r="V4" s="3">
        <f t="shared" si="2"/>
        <v>14.516187902989884</v>
      </c>
      <c r="X4" s="23">
        <v>631.5644526152646</v>
      </c>
      <c r="Y4">
        <v>5.546875</v>
      </c>
      <c r="Z4" s="22">
        <f t="shared" si="3"/>
        <v>20.387421630404418</v>
      </c>
      <c r="AA4">
        <f t="shared" si="4"/>
        <v>0</v>
      </c>
      <c r="AC4" s="37">
        <v>631.5644526152646</v>
      </c>
      <c r="AD4">
        <v>6.046875</v>
      </c>
      <c r="AE4" s="35">
        <f t="shared" si="5"/>
        <v>20.387421630404418</v>
      </c>
      <c r="AF4">
        <f t="shared" si="6"/>
        <v>0</v>
      </c>
      <c r="AG4" s="3">
        <f t="shared" si="7"/>
        <v>0</v>
      </c>
      <c r="AH4">
        <v>6</v>
      </c>
      <c r="AI4">
        <v>8</v>
      </c>
      <c r="AJ4">
        <v>0</v>
      </c>
      <c r="AK4">
        <v>0</v>
      </c>
      <c r="AL4">
        <v>0</v>
      </c>
      <c r="AM4" s="37">
        <f t="shared" si="8"/>
        <v>0</v>
      </c>
      <c r="AN4" s="37">
        <f t="shared" si="9"/>
        <v>0</v>
      </c>
      <c r="AO4" s="37">
        <f t="shared" si="10"/>
        <v>0</v>
      </c>
      <c r="AP4" s="37">
        <f t="shared" si="11"/>
        <v>0</v>
      </c>
      <c r="AQ4" s="37">
        <f t="shared" si="12"/>
        <v>0</v>
      </c>
    </row>
    <row r="5" spans="1:43" ht="15.75" thickBot="1" x14ac:dyDescent="0.3">
      <c r="A5" s="30" t="s">
        <v>20</v>
      </c>
      <c r="B5">
        <v>5</v>
      </c>
      <c r="C5">
        <v>75</v>
      </c>
      <c r="D5">
        <v>2</v>
      </c>
      <c r="E5">
        <v>140</v>
      </c>
      <c r="F5">
        <v>1191.564504632046</v>
      </c>
      <c r="G5" s="5">
        <v>993.40814169373516</v>
      </c>
      <c r="H5">
        <v>89.78125</v>
      </c>
      <c r="I5">
        <v>4</v>
      </c>
      <c r="J5">
        <v>500</v>
      </c>
      <c r="K5">
        <v>7200</v>
      </c>
      <c r="L5">
        <v>720</v>
      </c>
      <c r="M5">
        <v>3</v>
      </c>
      <c r="N5">
        <v>4</v>
      </c>
      <c r="O5">
        <v>17</v>
      </c>
      <c r="P5">
        <v>9</v>
      </c>
      <c r="Q5">
        <v>1</v>
      </c>
      <c r="S5">
        <v>835.43</v>
      </c>
      <c r="T5" s="3">
        <f t="shared" si="1"/>
        <v>42.628886277970167</v>
      </c>
      <c r="U5" s="6">
        <f t="shared" si="1"/>
        <v>18.909799946582609</v>
      </c>
      <c r="V5" s="3">
        <f t="shared" si="2"/>
        <v>23.719086331387558</v>
      </c>
      <c r="X5" s="23">
        <v>993.40814169373516</v>
      </c>
      <c r="Y5">
        <v>95.015625</v>
      </c>
      <c r="Z5" s="22">
        <f t="shared" si="3"/>
        <v>18.909799946582609</v>
      </c>
      <c r="AA5">
        <f t="shared" si="4"/>
        <v>0</v>
      </c>
      <c r="AC5" s="37">
        <v>934.43296650518641</v>
      </c>
      <c r="AD5">
        <v>182.90625</v>
      </c>
      <c r="AE5" s="35">
        <f t="shared" si="5"/>
        <v>11.850540021927202</v>
      </c>
      <c r="AF5">
        <f t="shared" si="6"/>
        <v>-58.975175188548747</v>
      </c>
      <c r="AG5" s="8">
        <f t="shared" si="7"/>
        <v>-7.0592599246554073</v>
      </c>
      <c r="AH5">
        <v>4</v>
      </c>
      <c r="AI5">
        <v>4</v>
      </c>
      <c r="AJ5">
        <v>16</v>
      </c>
      <c r="AK5">
        <v>21</v>
      </c>
      <c r="AL5">
        <v>3</v>
      </c>
      <c r="AM5" s="37">
        <f t="shared" si="8"/>
        <v>1</v>
      </c>
      <c r="AN5" s="37">
        <f t="shared" si="9"/>
        <v>0</v>
      </c>
      <c r="AO5" s="37">
        <f t="shared" si="10"/>
        <v>-1</v>
      </c>
      <c r="AP5" s="39">
        <f t="shared" si="11"/>
        <v>20</v>
      </c>
      <c r="AQ5" s="37">
        <f t="shared" si="12"/>
        <v>-6</v>
      </c>
    </row>
    <row r="6" spans="1:43" x14ac:dyDescent="0.25">
      <c r="A6" s="30" t="s">
        <v>21</v>
      </c>
      <c r="B6">
        <v>6</v>
      </c>
      <c r="C6">
        <v>75</v>
      </c>
      <c r="D6">
        <v>5</v>
      </c>
      <c r="E6">
        <v>140</v>
      </c>
      <c r="F6">
        <v>2803.0667370561068</v>
      </c>
      <c r="G6" s="5">
        <v>2473.815931555841</v>
      </c>
      <c r="H6">
        <v>74.40625</v>
      </c>
      <c r="I6">
        <v>4</v>
      </c>
      <c r="J6">
        <v>500</v>
      </c>
      <c r="K6">
        <v>7200</v>
      </c>
      <c r="L6">
        <v>720</v>
      </c>
      <c r="M6">
        <v>19</v>
      </c>
      <c r="N6">
        <v>4</v>
      </c>
      <c r="O6">
        <v>12</v>
      </c>
      <c r="P6">
        <v>0</v>
      </c>
      <c r="Q6">
        <v>0</v>
      </c>
      <c r="S6">
        <v>2027.99</v>
      </c>
      <c r="T6" s="3">
        <f t="shared" si="1"/>
        <v>38.21896247299577</v>
      </c>
      <c r="U6" s="6">
        <f t="shared" si="1"/>
        <v>21.98363559760358</v>
      </c>
      <c r="V6" s="3">
        <f t="shared" si="2"/>
        <v>16.23532687539219</v>
      </c>
      <c r="X6" s="23">
        <v>2473.815931555841</v>
      </c>
      <c r="Y6">
        <v>74.09375</v>
      </c>
      <c r="Z6" s="22">
        <f t="shared" si="3"/>
        <v>21.98363559760358</v>
      </c>
      <c r="AA6">
        <f t="shared" si="4"/>
        <v>0</v>
      </c>
      <c r="AC6" s="37">
        <v>2473.815931555841</v>
      </c>
      <c r="AD6">
        <v>75.15625</v>
      </c>
      <c r="AE6" s="35">
        <f t="shared" si="5"/>
        <v>21.98363559760358</v>
      </c>
      <c r="AF6">
        <f t="shared" si="6"/>
        <v>0</v>
      </c>
      <c r="AG6" s="3">
        <f t="shared" si="7"/>
        <v>0</v>
      </c>
      <c r="AH6">
        <v>19</v>
      </c>
      <c r="AI6">
        <v>4</v>
      </c>
      <c r="AJ6">
        <v>12</v>
      </c>
      <c r="AK6">
        <v>0</v>
      </c>
      <c r="AL6">
        <v>0</v>
      </c>
      <c r="AM6" s="37">
        <f t="shared" si="8"/>
        <v>0</v>
      </c>
      <c r="AN6" s="37">
        <f t="shared" si="9"/>
        <v>0</v>
      </c>
      <c r="AO6" s="37">
        <f t="shared" si="10"/>
        <v>0</v>
      </c>
      <c r="AP6" s="37">
        <f t="shared" si="11"/>
        <v>0</v>
      </c>
      <c r="AQ6" s="37">
        <f t="shared" si="12"/>
        <v>0</v>
      </c>
    </row>
    <row r="7" spans="1:43" x14ac:dyDescent="0.25">
      <c r="A7" s="30" t="s">
        <v>22</v>
      </c>
      <c r="B7">
        <v>1</v>
      </c>
      <c r="C7">
        <v>75</v>
      </c>
      <c r="D7">
        <v>10</v>
      </c>
      <c r="E7">
        <v>140</v>
      </c>
      <c r="F7">
        <v>1202.7378153136131</v>
      </c>
      <c r="G7" s="5">
        <v>987.43847020148849</v>
      </c>
      <c r="H7">
        <v>13.265625</v>
      </c>
      <c r="I7">
        <v>1</v>
      </c>
      <c r="J7">
        <v>500</v>
      </c>
      <c r="K7">
        <v>7200</v>
      </c>
      <c r="L7">
        <v>720</v>
      </c>
      <c r="M7">
        <v>17</v>
      </c>
      <c r="N7">
        <v>12</v>
      </c>
      <c r="O7">
        <v>0</v>
      </c>
      <c r="P7">
        <v>0</v>
      </c>
      <c r="Q7">
        <v>0</v>
      </c>
      <c r="S7">
        <v>836.37</v>
      </c>
      <c r="T7" s="3">
        <f t="shared" si="1"/>
        <v>43.804514187932739</v>
      </c>
      <c r="U7" s="6">
        <f t="shared" si="1"/>
        <v>18.062397049330855</v>
      </c>
      <c r="V7" s="3">
        <f t="shared" si="2"/>
        <v>25.742117138601884</v>
      </c>
      <c r="X7" s="23">
        <v>987.43847020148849</v>
      </c>
      <c r="Y7">
        <v>12.75</v>
      </c>
      <c r="Z7" s="22">
        <f t="shared" si="3"/>
        <v>18.062397049330855</v>
      </c>
      <c r="AA7">
        <f t="shared" si="4"/>
        <v>0</v>
      </c>
      <c r="AC7" s="37">
        <v>987.43847020148849</v>
      </c>
      <c r="AD7">
        <v>13.390625</v>
      </c>
      <c r="AE7" s="35">
        <f t="shared" si="5"/>
        <v>18.062397049330855</v>
      </c>
      <c r="AF7">
        <f t="shared" si="6"/>
        <v>0</v>
      </c>
      <c r="AG7" s="3">
        <f t="shared" si="7"/>
        <v>0</v>
      </c>
      <c r="AH7">
        <v>17</v>
      </c>
      <c r="AI7">
        <v>12</v>
      </c>
      <c r="AJ7">
        <v>0</v>
      </c>
      <c r="AK7">
        <v>0</v>
      </c>
      <c r="AL7">
        <v>0</v>
      </c>
      <c r="AM7" s="37">
        <f t="shared" si="8"/>
        <v>0</v>
      </c>
      <c r="AN7" s="37">
        <f t="shared" si="9"/>
        <v>0</v>
      </c>
      <c r="AO7" s="37">
        <f t="shared" si="10"/>
        <v>0</v>
      </c>
      <c r="AP7" s="37">
        <f t="shared" si="11"/>
        <v>0</v>
      </c>
      <c r="AQ7" s="37">
        <f t="shared" si="12"/>
        <v>0</v>
      </c>
    </row>
    <row r="8" spans="1:43" x14ac:dyDescent="0.25">
      <c r="A8" s="30" t="s">
        <v>23</v>
      </c>
      <c r="B8">
        <v>4</v>
      </c>
      <c r="C8">
        <v>100</v>
      </c>
      <c r="D8">
        <v>2</v>
      </c>
      <c r="E8">
        <v>200</v>
      </c>
      <c r="F8">
        <v>1215.7122377784151</v>
      </c>
      <c r="G8" s="5">
        <v>995.16413427229713</v>
      </c>
      <c r="H8">
        <v>66.65625</v>
      </c>
      <c r="I8">
        <v>4</v>
      </c>
      <c r="J8">
        <v>500</v>
      </c>
      <c r="K8">
        <v>7200</v>
      </c>
      <c r="L8">
        <v>720</v>
      </c>
      <c r="M8">
        <v>14</v>
      </c>
      <c r="N8">
        <v>8</v>
      </c>
      <c r="O8">
        <v>48</v>
      </c>
      <c r="P8">
        <v>0</v>
      </c>
      <c r="Q8">
        <v>0</v>
      </c>
      <c r="S8">
        <v>826.14</v>
      </c>
      <c r="T8" s="3">
        <f t="shared" si="1"/>
        <v>47.155716679789776</v>
      </c>
      <c r="U8" s="6">
        <f t="shared" si="1"/>
        <v>20.459502538588751</v>
      </c>
      <c r="V8" s="3">
        <f t="shared" si="2"/>
        <v>26.696214141201025</v>
      </c>
      <c r="X8" s="23">
        <v>995.16413427229713</v>
      </c>
      <c r="Y8">
        <v>64.90625</v>
      </c>
      <c r="Z8" s="22">
        <f t="shared" si="3"/>
        <v>20.459502538588751</v>
      </c>
      <c r="AA8">
        <f t="shared" si="4"/>
        <v>0</v>
      </c>
      <c r="AC8" s="37">
        <v>991.99707283601356</v>
      </c>
      <c r="AD8">
        <v>76.09375</v>
      </c>
      <c r="AE8" s="35">
        <f t="shared" si="5"/>
        <v>20.076146032877418</v>
      </c>
      <c r="AF8">
        <f t="shared" si="6"/>
        <v>-3.1670614362835749</v>
      </c>
      <c r="AG8" s="3">
        <f t="shared" si="7"/>
        <v>-0.38335650571133328</v>
      </c>
      <c r="AH8">
        <v>14</v>
      </c>
      <c r="AI8">
        <v>8</v>
      </c>
      <c r="AJ8">
        <v>50</v>
      </c>
      <c r="AK8">
        <v>1</v>
      </c>
      <c r="AL8">
        <v>0</v>
      </c>
      <c r="AM8" s="37">
        <f t="shared" si="8"/>
        <v>0</v>
      </c>
      <c r="AN8" s="37">
        <f t="shared" si="9"/>
        <v>0</v>
      </c>
      <c r="AO8" s="37">
        <f t="shared" si="10"/>
        <v>2</v>
      </c>
      <c r="AP8" s="37">
        <f t="shared" si="11"/>
        <v>1</v>
      </c>
      <c r="AQ8" s="37">
        <f t="shared" si="12"/>
        <v>0</v>
      </c>
    </row>
    <row r="9" spans="1:43" x14ac:dyDescent="0.25">
      <c r="A9" s="30" t="s">
        <v>24</v>
      </c>
      <c r="B9">
        <v>5</v>
      </c>
      <c r="C9">
        <v>100</v>
      </c>
      <c r="D9">
        <v>5</v>
      </c>
      <c r="E9">
        <v>200</v>
      </c>
      <c r="F9">
        <v>2739.4842456620681</v>
      </c>
      <c r="G9" s="5">
        <v>2619.150502119136</v>
      </c>
      <c r="H9">
        <v>57.375</v>
      </c>
      <c r="I9">
        <v>4</v>
      </c>
      <c r="J9">
        <v>500</v>
      </c>
      <c r="K9">
        <v>7200</v>
      </c>
      <c r="L9">
        <v>720</v>
      </c>
      <c r="M9">
        <v>25</v>
      </c>
      <c r="N9">
        <v>3</v>
      </c>
      <c r="O9">
        <v>6</v>
      </c>
      <c r="P9">
        <v>1</v>
      </c>
      <c r="Q9">
        <v>0</v>
      </c>
      <c r="S9">
        <v>2034.15</v>
      </c>
      <c r="T9" s="3">
        <f t="shared" si="1"/>
        <v>34.674642758010378</v>
      </c>
      <c r="U9" s="6">
        <f t="shared" si="1"/>
        <v>28.758965765510709</v>
      </c>
      <c r="V9" s="3">
        <f t="shared" si="2"/>
        <v>5.9156769924996695</v>
      </c>
      <c r="X9" s="23">
        <v>2619.150502119136</v>
      </c>
      <c r="Y9">
        <v>54.765625</v>
      </c>
      <c r="Z9" s="22">
        <f t="shared" si="3"/>
        <v>28.758965765510709</v>
      </c>
      <c r="AA9">
        <f t="shared" si="4"/>
        <v>0</v>
      </c>
      <c r="AC9" s="37">
        <v>2626.338630960056</v>
      </c>
      <c r="AD9">
        <v>40.65625</v>
      </c>
      <c r="AE9" s="35">
        <f t="shared" si="5"/>
        <v>29.112338370329411</v>
      </c>
      <c r="AF9">
        <f t="shared" si="6"/>
        <v>7.1881288409199442</v>
      </c>
      <c r="AG9" s="3">
        <f t="shared" si="7"/>
        <v>0.35337260481870203</v>
      </c>
      <c r="AH9">
        <v>23</v>
      </c>
      <c r="AI9">
        <v>3</v>
      </c>
      <c r="AJ9">
        <v>5</v>
      </c>
      <c r="AK9">
        <v>0</v>
      </c>
      <c r="AL9">
        <v>0</v>
      </c>
      <c r="AM9" s="37">
        <f t="shared" si="8"/>
        <v>-2</v>
      </c>
      <c r="AN9" s="37">
        <f t="shared" si="9"/>
        <v>0</v>
      </c>
      <c r="AO9" s="37">
        <f t="shared" si="10"/>
        <v>-1</v>
      </c>
      <c r="AP9" s="37">
        <f t="shared" si="11"/>
        <v>0</v>
      </c>
      <c r="AQ9" s="37">
        <f t="shared" si="12"/>
        <v>-1</v>
      </c>
    </row>
    <row r="10" spans="1:43" x14ac:dyDescent="0.25">
      <c r="A10" s="30" t="s">
        <v>25</v>
      </c>
      <c r="B10">
        <v>1</v>
      </c>
      <c r="C10">
        <v>100</v>
      </c>
      <c r="D10">
        <v>8</v>
      </c>
      <c r="E10">
        <v>200</v>
      </c>
      <c r="F10">
        <v>1212.110570350635</v>
      </c>
      <c r="G10" s="5">
        <v>971.59881465973649</v>
      </c>
      <c r="H10">
        <v>14.8125</v>
      </c>
      <c r="I10">
        <v>1</v>
      </c>
      <c r="J10">
        <v>500</v>
      </c>
      <c r="K10">
        <v>7200</v>
      </c>
      <c r="L10">
        <v>720</v>
      </c>
      <c r="M10">
        <v>86</v>
      </c>
      <c r="N10">
        <v>5</v>
      </c>
      <c r="O10">
        <v>0</v>
      </c>
      <c r="P10">
        <v>0</v>
      </c>
      <c r="Q10">
        <v>0</v>
      </c>
      <c r="S10">
        <v>826.14</v>
      </c>
      <c r="T10" s="3">
        <f t="shared" si="1"/>
        <v>46.719753353019485</v>
      </c>
      <c r="U10" s="6">
        <f t="shared" si="1"/>
        <v>17.607041743498257</v>
      </c>
      <c r="V10" s="3">
        <f t="shared" si="2"/>
        <v>29.112711609521227</v>
      </c>
      <c r="X10" s="23">
        <v>971.59881465973649</v>
      </c>
      <c r="Y10">
        <v>13.25</v>
      </c>
      <c r="Z10" s="22">
        <f t="shared" si="3"/>
        <v>17.607041743498257</v>
      </c>
      <c r="AA10">
        <f t="shared" si="4"/>
        <v>0</v>
      </c>
      <c r="AC10" s="37">
        <v>971.59881465973649</v>
      </c>
      <c r="AD10">
        <v>13.890625</v>
      </c>
      <c r="AE10" s="35">
        <f t="shared" si="5"/>
        <v>17.607041743498257</v>
      </c>
      <c r="AF10">
        <f t="shared" si="6"/>
        <v>0</v>
      </c>
      <c r="AG10" s="3">
        <f t="shared" si="7"/>
        <v>0</v>
      </c>
      <c r="AH10">
        <v>86</v>
      </c>
      <c r="AI10">
        <v>5</v>
      </c>
      <c r="AJ10">
        <v>0</v>
      </c>
      <c r="AK10">
        <v>0</v>
      </c>
      <c r="AL10">
        <v>0</v>
      </c>
      <c r="AM10" s="37">
        <f t="shared" si="8"/>
        <v>0</v>
      </c>
      <c r="AN10" s="37">
        <f t="shared" si="9"/>
        <v>0</v>
      </c>
      <c r="AO10" s="37">
        <f t="shared" si="10"/>
        <v>0</v>
      </c>
      <c r="AP10" s="37">
        <f t="shared" si="11"/>
        <v>0</v>
      </c>
      <c r="AQ10" s="37">
        <f t="shared" si="12"/>
        <v>0</v>
      </c>
    </row>
    <row r="11" spans="1:43" x14ac:dyDescent="0.25">
      <c r="A11" s="30" t="s">
        <v>26</v>
      </c>
      <c r="B11">
        <v>4</v>
      </c>
      <c r="C11">
        <v>100</v>
      </c>
      <c r="D11">
        <v>5</v>
      </c>
      <c r="E11">
        <v>200</v>
      </c>
      <c r="F11">
        <v>2325.542031937076</v>
      </c>
      <c r="G11" s="5">
        <v>1998.471501765664</v>
      </c>
      <c r="H11">
        <v>139</v>
      </c>
      <c r="I11">
        <v>4</v>
      </c>
      <c r="J11">
        <v>500</v>
      </c>
      <c r="K11">
        <v>7200</v>
      </c>
      <c r="L11">
        <v>720</v>
      </c>
      <c r="M11">
        <v>77</v>
      </c>
      <c r="N11">
        <v>6</v>
      </c>
      <c r="O11">
        <v>20</v>
      </c>
      <c r="P11">
        <v>0</v>
      </c>
      <c r="Q11">
        <v>0</v>
      </c>
      <c r="S11">
        <v>1595.84</v>
      </c>
      <c r="T11" s="3">
        <f t="shared" si="1"/>
        <v>45.725262679032738</v>
      </c>
      <c r="U11" s="6">
        <f t="shared" si="1"/>
        <v>25.230067034644094</v>
      </c>
      <c r="V11" s="3">
        <f t="shared" si="2"/>
        <v>20.495195644388644</v>
      </c>
      <c r="X11" s="23">
        <v>1998.471501765664</v>
      </c>
      <c r="Y11">
        <v>146.203125</v>
      </c>
      <c r="Z11" s="22">
        <f t="shared" si="3"/>
        <v>25.230067034644094</v>
      </c>
      <c r="AA11">
        <f t="shared" si="4"/>
        <v>0</v>
      </c>
      <c r="AC11" s="37">
        <v>1991.279003837079</v>
      </c>
      <c r="AD11">
        <v>157.3125</v>
      </c>
      <c r="AE11" s="35">
        <f t="shared" si="5"/>
        <v>24.779364086442186</v>
      </c>
      <c r="AF11">
        <f t="shared" si="6"/>
        <v>-7.1924979285849986</v>
      </c>
      <c r="AG11" s="3">
        <f t="shared" si="7"/>
        <v>-0.45070294820190782</v>
      </c>
      <c r="AH11">
        <v>80</v>
      </c>
      <c r="AI11">
        <v>6</v>
      </c>
      <c r="AJ11">
        <v>23</v>
      </c>
      <c r="AK11">
        <v>0</v>
      </c>
      <c r="AL11">
        <v>1</v>
      </c>
      <c r="AM11" s="37">
        <f t="shared" si="8"/>
        <v>3</v>
      </c>
      <c r="AN11" s="37">
        <f t="shared" si="9"/>
        <v>0</v>
      </c>
      <c r="AO11" s="37">
        <f t="shared" si="10"/>
        <v>3</v>
      </c>
      <c r="AP11" s="37">
        <f t="shared" si="11"/>
        <v>0</v>
      </c>
      <c r="AQ11" s="37">
        <f t="shared" si="12"/>
        <v>1</v>
      </c>
    </row>
    <row r="12" spans="1:43" x14ac:dyDescent="0.25">
      <c r="A12" s="30" t="s">
        <v>27</v>
      </c>
      <c r="B12">
        <v>4</v>
      </c>
      <c r="C12">
        <v>138</v>
      </c>
      <c r="D12">
        <v>5</v>
      </c>
      <c r="E12">
        <v>235</v>
      </c>
      <c r="F12">
        <v>1149.8347182885921</v>
      </c>
      <c r="G12" s="5">
        <v>957.75124084835738</v>
      </c>
      <c r="H12">
        <v>501.375</v>
      </c>
      <c r="I12">
        <v>4</v>
      </c>
      <c r="J12">
        <v>500</v>
      </c>
      <c r="K12">
        <v>7200</v>
      </c>
      <c r="L12">
        <v>720</v>
      </c>
      <c r="M12">
        <v>160</v>
      </c>
      <c r="N12">
        <v>11</v>
      </c>
      <c r="O12">
        <v>47</v>
      </c>
      <c r="P12">
        <v>3</v>
      </c>
      <c r="Q12">
        <v>1</v>
      </c>
      <c r="S12">
        <v>779.29</v>
      </c>
      <c r="T12" s="3">
        <f t="shared" si="1"/>
        <v>47.549014909544866</v>
      </c>
      <c r="U12" s="6">
        <f t="shared" si="1"/>
        <v>22.900491581870355</v>
      </c>
      <c r="V12" s="3">
        <f t="shared" si="2"/>
        <v>24.648523327674511</v>
      </c>
      <c r="X12" s="23">
        <v>957.75124084835738</v>
      </c>
      <c r="Y12">
        <v>536.40625</v>
      </c>
      <c r="Z12" s="22">
        <f t="shared" si="3"/>
        <v>22.900491581870355</v>
      </c>
      <c r="AA12">
        <f t="shared" si="4"/>
        <v>0</v>
      </c>
      <c r="AC12" s="37">
        <v>948.17942094718762</v>
      </c>
      <c r="AD12">
        <v>690.34375</v>
      </c>
      <c r="AE12" s="35">
        <f t="shared" si="5"/>
        <v>21.672217139599852</v>
      </c>
      <c r="AF12">
        <f t="shared" si="6"/>
        <v>-9.5718199011697607</v>
      </c>
      <c r="AG12" s="3">
        <f t="shared" si="7"/>
        <v>-1.2282744422705036</v>
      </c>
      <c r="AH12">
        <v>152</v>
      </c>
      <c r="AI12">
        <v>16</v>
      </c>
      <c r="AJ12">
        <v>62</v>
      </c>
      <c r="AK12">
        <v>2</v>
      </c>
      <c r="AL12">
        <v>3</v>
      </c>
      <c r="AM12" s="37">
        <f t="shared" si="8"/>
        <v>-8</v>
      </c>
      <c r="AN12" s="37">
        <f t="shared" si="9"/>
        <v>5</v>
      </c>
      <c r="AO12" s="37">
        <f t="shared" si="10"/>
        <v>15</v>
      </c>
      <c r="AP12" s="37">
        <f t="shared" si="11"/>
        <v>1</v>
      </c>
      <c r="AQ12" s="37">
        <f t="shared" si="12"/>
        <v>0</v>
      </c>
    </row>
    <row r="13" spans="1:43" ht="15.75" thickBot="1" x14ac:dyDescent="0.3">
      <c r="A13" s="30" t="s">
        <v>28</v>
      </c>
      <c r="B13">
        <v>3</v>
      </c>
      <c r="C13">
        <v>163</v>
      </c>
      <c r="D13">
        <v>5</v>
      </c>
      <c r="E13">
        <v>140</v>
      </c>
      <c r="F13">
        <v>1746.675638572028</v>
      </c>
      <c r="G13" s="5">
        <v>1535.5589249924519</v>
      </c>
      <c r="H13">
        <v>330.5625</v>
      </c>
      <c r="I13">
        <v>4</v>
      </c>
      <c r="J13">
        <v>500</v>
      </c>
      <c r="K13">
        <v>7200</v>
      </c>
      <c r="L13">
        <v>720</v>
      </c>
      <c r="M13">
        <v>149</v>
      </c>
      <c r="N13">
        <v>13</v>
      </c>
      <c r="O13">
        <v>53</v>
      </c>
      <c r="P13">
        <v>0</v>
      </c>
      <c r="Q13">
        <v>0</v>
      </c>
      <c r="S13">
        <v>1195.8800000000001</v>
      </c>
      <c r="T13" s="3">
        <f t="shared" si="1"/>
        <v>46.057768218552695</v>
      </c>
      <c r="U13" s="6">
        <f t="shared" si="1"/>
        <v>28.404097818547996</v>
      </c>
      <c r="V13" s="3">
        <f t="shared" si="2"/>
        <v>17.6536704000047</v>
      </c>
      <c r="X13" s="23">
        <v>1535.5589249924519</v>
      </c>
      <c r="Y13">
        <v>353.53125</v>
      </c>
      <c r="Z13" s="22">
        <f t="shared" si="3"/>
        <v>28.404097818547996</v>
      </c>
      <c r="AA13">
        <f t="shared" si="4"/>
        <v>0</v>
      </c>
      <c r="AC13" s="37">
        <v>1535.5589249924519</v>
      </c>
      <c r="AD13">
        <v>315.453125</v>
      </c>
      <c r="AE13" s="35">
        <f t="shared" si="5"/>
        <v>28.404097818547996</v>
      </c>
      <c r="AF13">
        <f t="shared" si="6"/>
        <v>0</v>
      </c>
      <c r="AG13" s="3">
        <f t="shared" si="7"/>
        <v>0</v>
      </c>
      <c r="AH13">
        <v>149</v>
      </c>
      <c r="AI13">
        <v>13</v>
      </c>
      <c r="AJ13">
        <v>53</v>
      </c>
      <c r="AK13">
        <v>0</v>
      </c>
      <c r="AL13">
        <v>0</v>
      </c>
      <c r="AM13" s="37">
        <f t="shared" si="8"/>
        <v>0</v>
      </c>
      <c r="AN13" s="37">
        <f t="shared" si="9"/>
        <v>0</v>
      </c>
      <c r="AO13" s="37">
        <f t="shared" si="10"/>
        <v>0</v>
      </c>
      <c r="AP13" s="37">
        <f t="shared" si="11"/>
        <v>0</v>
      </c>
      <c r="AQ13" s="37">
        <f t="shared" si="12"/>
        <v>0</v>
      </c>
    </row>
    <row r="14" spans="1:43" ht="15.75" thickBot="1" x14ac:dyDescent="0.3">
      <c r="A14" s="32" t="s">
        <v>29</v>
      </c>
      <c r="B14">
        <v>9</v>
      </c>
      <c r="C14">
        <v>417</v>
      </c>
      <c r="D14">
        <v>7</v>
      </c>
      <c r="E14">
        <v>2000</v>
      </c>
      <c r="F14">
        <v>6334.1302932916942</v>
      </c>
      <c r="G14" s="5">
        <v>5349.5498413897258</v>
      </c>
      <c r="H14">
        <v>7232.53125</v>
      </c>
      <c r="I14">
        <v>4</v>
      </c>
      <c r="J14">
        <v>500</v>
      </c>
      <c r="K14">
        <v>7200</v>
      </c>
      <c r="L14">
        <v>720</v>
      </c>
      <c r="M14" s="25">
        <v>88</v>
      </c>
      <c r="N14" s="26">
        <v>82</v>
      </c>
      <c r="O14" s="26">
        <v>23</v>
      </c>
      <c r="P14" s="26">
        <v>0</v>
      </c>
      <c r="Q14" s="27">
        <v>0</v>
      </c>
      <c r="S14">
        <v>3511.62</v>
      </c>
      <c r="T14" s="3">
        <f t="shared" si="1"/>
        <v>80.376301914549259</v>
      </c>
      <c r="U14" s="6">
        <f t="shared" si="1"/>
        <v>52.338517305110628</v>
      </c>
      <c r="V14" s="3">
        <f t="shared" si="2"/>
        <v>28.037784609438631</v>
      </c>
      <c r="X14" s="23">
        <v>5363.9203042463114</v>
      </c>
      <c r="Y14" s="29">
        <v>7232.8125</v>
      </c>
      <c r="Z14" s="22">
        <f t="shared" si="3"/>
        <v>52.74774332776073</v>
      </c>
      <c r="AA14">
        <f>G14-X14</f>
        <v>-14.370462856585618</v>
      </c>
      <c r="AC14" s="37">
        <v>5344.5407413275034</v>
      </c>
      <c r="AD14">
        <v>7229.09375</v>
      </c>
      <c r="AE14" s="35">
        <f t="shared" si="5"/>
        <v>52.195873737121445</v>
      </c>
      <c r="AF14">
        <f t="shared" si="6"/>
        <v>-19.379562918808006</v>
      </c>
      <c r="AG14" s="3">
        <f t="shared" si="7"/>
        <v>-0.55186959063928498</v>
      </c>
      <c r="AH14">
        <v>89</v>
      </c>
      <c r="AI14">
        <v>84</v>
      </c>
      <c r="AJ14">
        <v>24</v>
      </c>
      <c r="AK14">
        <v>0</v>
      </c>
      <c r="AL14">
        <v>0</v>
      </c>
      <c r="AM14" s="37">
        <f>AH14-X38</f>
        <v>2</v>
      </c>
      <c r="AN14" s="37">
        <f>AI14-Y38</f>
        <v>5</v>
      </c>
      <c r="AO14" s="37">
        <f>AJ14-Z38</f>
        <v>3</v>
      </c>
      <c r="AP14" s="37">
        <f>AK14-AB38</f>
        <v>0</v>
      </c>
      <c r="AQ14" s="37">
        <f>AL14-AA38</f>
        <v>0</v>
      </c>
    </row>
    <row r="15" spans="1:43" ht="15.75" thickBot="1" x14ac:dyDescent="0.3">
      <c r="A15" s="30" t="s">
        <v>30</v>
      </c>
      <c r="B15">
        <v>2</v>
      </c>
      <c r="C15">
        <v>20</v>
      </c>
      <c r="D15">
        <v>4</v>
      </c>
      <c r="E15">
        <v>20</v>
      </c>
      <c r="F15">
        <v>954.80711889752502</v>
      </c>
      <c r="G15" s="5">
        <v>954.80711889752502</v>
      </c>
      <c r="H15">
        <v>2.65625</v>
      </c>
      <c r="I15">
        <v>4</v>
      </c>
      <c r="J15">
        <v>500</v>
      </c>
      <c r="K15">
        <v>7200</v>
      </c>
      <c r="L15">
        <v>720</v>
      </c>
      <c r="M15">
        <v>0</v>
      </c>
      <c r="N15">
        <v>0</v>
      </c>
      <c r="O15">
        <v>0</v>
      </c>
      <c r="P15">
        <v>0</v>
      </c>
      <c r="Q15">
        <v>0</v>
      </c>
      <c r="S15">
        <v>954.81</v>
      </c>
      <c r="T15" s="3">
        <f t="shared" si="1"/>
        <v>-3.0174615629618984E-4</v>
      </c>
      <c r="U15" s="7">
        <f t="shared" si="1"/>
        <v>-3.0174615629618984E-4</v>
      </c>
      <c r="V15" s="8">
        <f t="shared" si="2"/>
        <v>0</v>
      </c>
      <c r="X15" s="23">
        <v>954.80711889752502</v>
      </c>
      <c r="Y15">
        <v>2.71875</v>
      </c>
      <c r="Z15" s="22">
        <f t="shared" si="3"/>
        <v>-3.0174615629618984E-4</v>
      </c>
      <c r="AA15">
        <f t="shared" si="4"/>
        <v>0</v>
      </c>
      <c r="AC15" s="37">
        <v>954.80711889752502</v>
      </c>
      <c r="AD15">
        <v>2.59375</v>
      </c>
      <c r="AE15" s="35">
        <f t="shared" si="5"/>
        <v>-3.0174615629618984E-4</v>
      </c>
      <c r="AF15">
        <f t="shared" si="6"/>
        <v>0</v>
      </c>
      <c r="AG15" s="3">
        <f t="shared" si="7"/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s="37">
        <f t="shared" si="8"/>
        <v>0</v>
      </c>
      <c r="AN15" s="37">
        <f t="shared" si="9"/>
        <v>0</v>
      </c>
      <c r="AO15" s="37">
        <f t="shared" si="10"/>
        <v>0</v>
      </c>
      <c r="AP15" s="37">
        <f t="shared" si="11"/>
        <v>0</v>
      </c>
      <c r="AQ15" s="37">
        <f t="shared" si="12"/>
        <v>0</v>
      </c>
    </row>
    <row r="16" spans="1:43" ht="15.75" thickBot="1" x14ac:dyDescent="0.3">
      <c r="A16" s="30" t="s">
        <v>31</v>
      </c>
      <c r="B16">
        <v>2</v>
      </c>
      <c r="C16">
        <v>38</v>
      </c>
      <c r="D16">
        <v>4</v>
      </c>
      <c r="E16">
        <v>30</v>
      </c>
      <c r="F16">
        <v>1899.885733385785</v>
      </c>
      <c r="G16" s="5">
        <v>1899.885733385785</v>
      </c>
      <c r="H16">
        <v>2.40625</v>
      </c>
      <c r="I16">
        <v>4</v>
      </c>
      <c r="J16">
        <v>500</v>
      </c>
      <c r="K16">
        <v>7200</v>
      </c>
      <c r="L16">
        <v>720</v>
      </c>
      <c r="M16">
        <v>0</v>
      </c>
      <c r="N16">
        <v>0</v>
      </c>
      <c r="O16">
        <v>0</v>
      </c>
      <c r="P16">
        <v>0</v>
      </c>
      <c r="Q16">
        <v>0</v>
      </c>
      <c r="S16">
        <v>1862.63</v>
      </c>
      <c r="T16" s="3">
        <f t="shared" si="1"/>
        <v>2.0001682237365941</v>
      </c>
      <c r="U16" s="7">
        <f t="shared" si="1"/>
        <v>2.0001682237365941</v>
      </c>
      <c r="V16" s="8">
        <f t="shared" si="2"/>
        <v>0</v>
      </c>
      <c r="X16" s="23">
        <v>1899.885733385785</v>
      </c>
      <c r="Y16">
        <v>2.515625</v>
      </c>
      <c r="Z16" s="22">
        <f t="shared" si="3"/>
        <v>2.0001682237365941</v>
      </c>
      <c r="AA16">
        <f t="shared" si="4"/>
        <v>0</v>
      </c>
      <c r="AC16" s="37">
        <v>1899.885733385785</v>
      </c>
      <c r="AD16">
        <v>2.609375</v>
      </c>
      <c r="AE16" s="35">
        <f t="shared" si="5"/>
        <v>2.0001682237365941</v>
      </c>
      <c r="AF16">
        <f t="shared" si="6"/>
        <v>0</v>
      </c>
      <c r="AG16" s="3">
        <f t="shared" si="7"/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s="37">
        <f t="shared" si="8"/>
        <v>0</v>
      </c>
      <c r="AN16" s="37">
        <f t="shared" si="9"/>
        <v>0</v>
      </c>
      <c r="AO16" s="37">
        <f t="shared" si="10"/>
        <v>0</v>
      </c>
      <c r="AP16" s="37">
        <f t="shared" si="11"/>
        <v>0</v>
      </c>
      <c r="AQ16" s="37">
        <f t="shared" si="12"/>
        <v>0</v>
      </c>
    </row>
    <row r="17" spans="1:43" ht="15.75" thickBot="1" x14ac:dyDescent="0.3">
      <c r="A17" s="30" t="s">
        <v>32</v>
      </c>
      <c r="B17">
        <v>2</v>
      </c>
      <c r="C17">
        <v>56</v>
      </c>
      <c r="D17">
        <v>4</v>
      </c>
      <c r="E17">
        <v>40</v>
      </c>
      <c r="F17">
        <v>3201.1465251106042</v>
      </c>
      <c r="G17" s="5">
        <v>3179.0510337214159</v>
      </c>
      <c r="H17">
        <v>4.875</v>
      </c>
      <c r="I17">
        <v>4</v>
      </c>
      <c r="J17">
        <v>500</v>
      </c>
      <c r="K17">
        <v>7200</v>
      </c>
      <c r="L17">
        <v>720</v>
      </c>
      <c r="M17">
        <v>2</v>
      </c>
      <c r="N17">
        <v>0</v>
      </c>
      <c r="O17">
        <v>0</v>
      </c>
      <c r="P17">
        <v>0</v>
      </c>
      <c r="Q17">
        <v>0</v>
      </c>
      <c r="S17">
        <v>2875.24</v>
      </c>
      <c r="T17" s="3">
        <f t="shared" si="1"/>
        <v>11.334932913795171</v>
      </c>
      <c r="U17" s="6">
        <f t="shared" si="1"/>
        <v>10.566458233796695</v>
      </c>
      <c r="V17" s="3">
        <f t="shared" si="2"/>
        <v>0.76847467999847652</v>
      </c>
      <c r="X17" s="23">
        <v>3179.0510337214159</v>
      </c>
      <c r="Y17">
        <v>5.28125</v>
      </c>
      <c r="Z17" s="22">
        <f t="shared" si="3"/>
        <v>10.566458233796695</v>
      </c>
      <c r="AA17">
        <f t="shared" si="4"/>
        <v>0</v>
      </c>
      <c r="AC17" s="37">
        <v>3179.0510337214159</v>
      </c>
      <c r="AD17">
        <v>4.828125</v>
      </c>
      <c r="AE17" s="35">
        <f t="shared" si="5"/>
        <v>10.566458233796695</v>
      </c>
      <c r="AF17">
        <f t="shared" si="6"/>
        <v>0</v>
      </c>
      <c r="AG17" s="3">
        <f t="shared" si="7"/>
        <v>0</v>
      </c>
      <c r="AH17">
        <v>2</v>
      </c>
      <c r="AI17">
        <v>0</v>
      </c>
      <c r="AJ17">
        <v>0</v>
      </c>
      <c r="AK17">
        <v>0</v>
      </c>
      <c r="AL17">
        <v>0</v>
      </c>
      <c r="AM17" s="37">
        <f t="shared" si="8"/>
        <v>0</v>
      </c>
      <c r="AN17" s="37">
        <f t="shared" si="9"/>
        <v>0</v>
      </c>
      <c r="AO17" s="37">
        <f t="shared" si="10"/>
        <v>0</v>
      </c>
      <c r="AP17" s="37">
        <f t="shared" si="11"/>
        <v>0</v>
      </c>
      <c r="AQ17" s="37">
        <f t="shared" si="12"/>
        <v>0</v>
      </c>
    </row>
    <row r="18" spans="1:43" ht="15.75" thickBot="1" x14ac:dyDescent="0.3">
      <c r="A18" s="30" t="s">
        <v>33</v>
      </c>
      <c r="B18">
        <v>4</v>
      </c>
      <c r="C18">
        <v>40</v>
      </c>
      <c r="D18">
        <v>4</v>
      </c>
      <c r="E18">
        <v>20</v>
      </c>
      <c r="F18">
        <v>1703.872161915519</v>
      </c>
      <c r="G18" s="5">
        <v>1703.872161915519</v>
      </c>
      <c r="H18">
        <v>3.390625</v>
      </c>
      <c r="I18">
        <v>4</v>
      </c>
      <c r="J18">
        <v>500</v>
      </c>
      <c r="K18">
        <v>7200</v>
      </c>
      <c r="L18">
        <v>720</v>
      </c>
      <c r="M18">
        <v>0</v>
      </c>
      <c r="N18">
        <v>0</v>
      </c>
      <c r="O18">
        <v>0</v>
      </c>
      <c r="P18">
        <v>0</v>
      </c>
      <c r="Q18">
        <v>0</v>
      </c>
      <c r="S18">
        <v>1597.75</v>
      </c>
      <c r="T18" s="3">
        <f t="shared" si="1"/>
        <v>6.6419753976228577</v>
      </c>
      <c r="U18" s="6">
        <f t="shared" si="1"/>
        <v>6.6419753976228577</v>
      </c>
      <c r="V18" s="8">
        <f t="shared" si="2"/>
        <v>0</v>
      </c>
      <c r="X18" s="23">
        <v>1703.872161915519</v>
      </c>
      <c r="Y18">
        <v>3.4375</v>
      </c>
      <c r="Z18" s="22">
        <f t="shared" si="3"/>
        <v>6.6419753976228577</v>
      </c>
      <c r="AA18">
        <f t="shared" si="4"/>
        <v>0</v>
      </c>
      <c r="AC18" s="37">
        <v>1703.872161915519</v>
      </c>
      <c r="AD18">
        <v>3.3125</v>
      </c>
      <c r="AE18" s="35">
        <f t="shared" si="5"/>
        <v>6.6419753976228577</v>
      </c>
      <c r="AF18">
        <f t="shared" si="6"/>
        <v>0</v>
      </c>
      <c r="AG18" s="3">
        <f t="shared" si="7"/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s="37">
        <f t="shared" si="8"/>
        <v>0</v>
      </c>
      <c r="AN18" s="37">
        <f t="shared" si="9"/>
        <v>0</v>
      </c>
      <c r="AO18" s="37">
        <f t="shared" si="10"/>
        <v>0</v>
      </c>
      <c r="AP18" s="37">
        <f t="shared" si="11"/>
        <v>0</v>
      </c>
      <c r="AQ18" s="37">
        <f t="shared" si="12"/>
        <v>0</v>
      </c>
    </row>
    <row r="19" spans="1:43" ht="15.75" thickBot="1" x14ac:dyDescent="0.3">
      <c r="A19" s="30" t="s">
        <v>34</v>
      </c>
      <c r="B19">
        <v>4</v>
      </c>
      <c r="C19">
        <v>76</v>
      </c>
      <c r="D19">
        <v>4</v>
      </c>
      <c r="E19">
        <v>30</v>
      </c>
      <c r="F19">
        <v>3217.167440359513</v>
      </c>
      <c r="G19" s="5">
        <v>3217.167440359513</v>
      </c>
      <c r="H19">
        <v>3.109375</v>
      </c>
      <c r="I19">
        <v>4</v>
      </c>
      <c r="J19">
        <v>500</v>
      </c>
      <c r="K19">
        <v>7200</v>
      </c>
      <c r="L19">
        <v>720</v>
      </c>
      <c r="M19">
        <v>0</v>
      </c>
      <c r="N19">
        <v>0</v>
      </c>
      <c r="O19">
        <v>0</v>
      </c>
      <c r="P19">
        <v>0</v>
      </c>
      <c r="Q19">
        <v>0</v>
      </c>
      <c r="S19">
        <v>3147.24</v>
      </c>
      <c r="T19" s="3">
        <f t="shared" si="1"/>
        <v>2.2218655189789445</v>
      </c>
      <c r="U19" s="7">
        <f t="shared" si="1"/>
        <v>2.2218655189789445</v>
      </c>
      <c r="V19" s="8">
        <f t="shared" si="2"/>
        <v>0</v>
      </c>
      <c r="X19" s="23">
        <v>3217.167440359513</v>
      </c>
      <c r="Y19">
        <v>3.015625</v>
      </c>
      <c r="Z19" s="22">
        <f t="shared" si="3"/>
        <v>2.2218655189789445</v>
      </c>
      <c r="AA19">
        <f t="shared" si="4"/>
        <v>0</v>
      </c>
      <c r="AC19" s="37">
        <v>3217.167440359513</v>
      </c>
      <c r="AD19">
        <v>2.90625</v>
      </c>
      <c r="AE19" s="35">
        <f t="shared" si="5"/>
        <v>2.2218655189789445</v>
      </c>
      <c r="AF19">
        <f t="shared" si="6"/>
        <v>0</v>
      </c>
      <c r="AG19" s="3">
        <f t="shared" si="7"/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s="37">
        <f t="shared" si="8"/>
        <v>0</v>
      </c>
      <c r="AN19" s="37">
        <f t="shared" si="9"/>
        <v>0</v>
      </c>
      <c r="AO19" s="37">
        <f t="shared" si="10"/>
        <v>0</v>
      </c>
      <c r="AP19" s="37">
        <f t="shared" si="11"/>
        <v>0</v>
      </c>
      <c r="AQ19" s="37">
        <f t="shared" si="12"/>
        <v>0</v>
      </c>
    </row>
    <row r="20" spans="1:43" ht="15.75" thickBot="1" x14ac:dyDescent="0.3">
      <c r="A20" s="30" t="s">
        <v>35</v>
      </c>
      <c r="B20">
        <v>4</v>
      </c>
      <c r="C20">
        <v>112</v>
      </c>
      <c r="D20">
        <v>4</v>
      </c>
      <c r="E20">
        <v>40</v>
      </c>
      <c r="F20">
        <v>4855.7678865271791</v>
      </c>
      <c r="G20" s="5">
        <v>4855.7678865271791</v>
      </c>
      <c r="H20">
        <v>4.34375</v>
      </c>
      <c r="I20">
        <v>4</v>
      </c>
      <c r="J20">
        <v>500</v>
      </c>
      <c r="K20">
        <v>7200</v>
      </c>
      <c r="L20">
        <v>720</v>
      </c>
      <c r="M20">
        <v>0</v>
      </c>
      <c r="N20">
        <v>0</v>
      </c>
      <c r="O20">
        <v>0</v>
      </c>
      <c r="P20">
        <v>0</v>
      </c>
      <c r="Q20">
        <v>0</v>
      </c>
      <c r="S20">
        <v>4834.34</v>
      </c>
      <c r="T20" s="3">
        <f t="shared" si="1"/>
        <v>0.44324326644751011</v>
      </c>
      <c r="U20" s="7">
        <f t="shared" si="1"/>
        <v>0.44324326644751011</v>
      </c>
      <c r="V20" s="8">
        <f t="shared" si="2"/>
        <v>0</v>
      </c>
      <c r="X20" s="23">
        <v>4855.7678865271791</v>
      </c>
      <c r="Y20">
        <v>4.203125</v>
      </c>
      <c r="Z20" s="22">
        <f t="shared" si="3"/>
        <v>0.44324326644751011</v>
      </c>
      <c r="AA20">
        <f t="shared" si="4"/>
        <v>0</v>
      </c>
      <c r="AC20" s="37">
        <v>4855.7678865271791</v>
      </c>
      <c r="AD20">
        <v>3.890625</v>
      </c>
      <c r="AE20" s="35">
        <f t="shared" si="5"/>
        <v>0.44324326644751011</v>
      </c>
      <c r="AF20">
        <f t="shared" si="6"/>
        <v>0</v>
      </c>
      <c r="AG20" s="3">
        <f t="shared" si="7"/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37">
        <f t="shared" si="8"/>
        <v>0</v>
      </c>
      <c r="AN20" s="37">
        <f t="shared" si="9"/>
        <v>0</v>
      </c>
      <c r="AO20" s="37">
        <f t="shared" si="10"/>
        <v>0</v>
      </c>
      <c r="AP20" s="37">
        <f t="shared" si="11"/>
        <v>0</v>
      </c>
      <c r="AQ20" s="37">
        <f t="shared" si="12"/>
        <v>0</v>
      </c>
    </row>
    <row r="21" spans="1:43" ht="15.75" thickBot="1" x14ac:dyDescent="0.3">
      <c r="A21" s="30" t="s">
        <v>36</v>
      </c>
      <c r="B21">
        <v>4</v>
      </c>
      <c r="C21">
        <v>184</v>
      </c>
      <c r="D21">
        <v>4</v>
      </c>
      <c r="E21">
        <v>60</v>
      </c>
      <c r="F21">
        <v>9441.6174868667931</v>
      </c>
      <c r="G21" s="5">
        <v>9441.6174868667931</v>
      </c>
      <c r="H21">
        <v>8.46875</v>
      </c>
      <c r="I21">
        <v>4</v>
      </c>
      <c r="J21">
        <v>500</v>
      </c>
      <c r="K21">
        <v>7200</v>
      </c>
      <c r="L21">
        <v>720</v>
      </c>
      <c r="M21">
        <v>0</v>
      </c>
      <c r="N21">
        <v>0</v>
      </c>
      <c r="O21">
        <v>0</v>
      </c>
      <c r="P21">
        <v>0</v>
      </c>
      <c r="Q21">
        <v>0</v>
      </c>
      <c r="S21">
        <v>8367.4</v>
      </c>
      <c r="T21" s="3">
        <f t="shared" si="1"/>
        <v>12.838127576867279</v>
      </c>
      <c r="U21" s="6">
        <f t="shared" si="1"/>
        <v>12.838127576867279</v>
      </c>
      <c r="V21" s="8">
        <f t="shared" si="2"/>
        <v>0</v>
      </c>
      <c r="X21" s="23">
        <v>9441.6174868667931</v>
      </c>
      <c r="Y21">
        <v>8.203125</v>
      </c>
      <c r="Z21" s="22">
        <f t="shared" si="3"/>
        <v>12.838127576867279</v>
      </c>
      <c r="AA21">
        <f t="shared" si="4"/>
        <v>0</v>
      </c>
      <c r="AC21" s="37">
        <v>9441.6174868667931</v>
      </c>
      <c r="AD21">
        <v>7.90625</v>
      </c>
      <c r="AE21" s="35">
        <f t="shared" si="5"/>
        <v>12.838127576867279</v>
      </c>
      <c r="AF21">
        <f t="shared" si="6"/>
        <v>0</v>
      </c>
      <c r="AG21" s="3">
        <f t="shared" si="7"/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s="37">
        <f t="shared" si="8"/>
        <v>0</v>
      </c>
      <c r="AN21" s="37">
        <f t="shared" si="9"/>
        <v>0</v>
      </c>
      <c r="AO21" s="37">
        <f t="shared" si="10"/>
        <v>0</v>
      </c>
      <c r="AP21" s="37">
        <f t="shared" si="11"/>
        <v>0</v>
      </c>
      <c r="AQ21" s="37">
        <f t="shared" si="12"/>
        <v>0</v>
      </c>
    </row>
    <row r="22" spans="1:43" ht="15.75" thickBot="1" x14ac:dyDescent="0.3">
      <c r="A22" s="30" t="s">
        <v>37</v>
      </c>
      <c r="B22">
        <v>6</v>
      </c>
      <c r="C22">
        <v>60</v>
      </c>
      <c r="D22">
        <v>4</v>
      </c>
      <c r="E22">
        <v>20</v>
      </c>
      <c r="F22">
        <v>2476.4553897065998</v>
      </c>
      <c r="G22" s="5">
        <v>2476.4553897065998</v>
      </c>
      <c r="H22">
        <v>4.359375</v>
      </c>
      <c r="I22">
        <v>4</v>
      </c>
      <c r="J22">
        <v>500</v>
      </c>
      <c r="K22">
        <v>7200</v>
      </c>
      <c r="L22">
        <v>720</v>
      </c>
      <c r="M22">
        <v>0</v>
      </c>
      <c r="N22">
        <v>0</v>
      </c>
      <c r="O22">
        <v>0</v>
      </c>
      <c r="P22">
        <v>0</v>
      </c>
      <c r="Q22">
        <v>0</v>
      </c>
      <c r="S22">
        <v>2184.04</v>
      </c>
      <c r="T22" s="3">
        <f t="shared" si="1"/>
        <v>13.38873783019541</v>
      </c>
      <c r="U22" s="6">
        <f t="shared" si="1"/>
        <v>13.38873783019541</v>
      </c>
      <c r="V22" s="8">
        <f t="shared" si="2"/>
        <v>0</v>
      </c>
      <c r="X22" s="23">
        <v>2476.4553897065998</v>
      </c>
      <c r="Y22">
        <v>4.296875</v>
      </c>
      <c r="Z22" s="22">
        <f t="shared" si="3"/>
        <v>13.38873783019541</v>
      </c>
      <c r="AA22">
        <f t="shared" si="4"/>
        <v>0</v>
      </c>
      <c r="AC22" s="37">
        <v>2476.4553897065998</v>
      </c>
      <c r="AD22">
        <v>4.265625</v>
      </c>
      <c r="AE22" s="35">
        <f t="shared" si="5"/>
        <v>13.38873783019541</v>
      </c>
      <c r="AF22">
        <f t="shared" si="6"/>
        <v>0</v>
      </c>
      <c r="AG22" s="3">
        <f t="shared" si="7"/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s="37">
        <f t="shared" si="8"/>
        <v>0</v>
      </c>
      <c r="AN22" s="37">
        <f t="shared" si="9"/>
        <v>0</v>
      </c>
      <c r="AO22" s="37">
        <f t="shared" si="10"/>
        <v>0</v>
      </c>
      <c r="AP22" s="37">
        <f t="shared" si="11"/>
        <v>0</v>
      </c>
      <c r="AQ22" s="37">
        <f t="shared" si="12"/>
        <v>0</v>
      </c>
    </row>
    <row r="23" spans="1:43" ht="15.75" thickBot="1" x14ac:dyDescent="0.3">
      <c r="A23" s="30" t="s">
        <v>38</v>
      </c>
      <c r="B23">
        <v>6</v>
      </c>
      <c r="C23">
        <v>114</v>
      </c>
      <c r="D23">
        <v>4</v>
      </c>
      <c r="E23">
        <v>30</v>
      </c>
      <c r="F23">
        <v>4608.9469410204683</v>
      </c>
      <c r="G23" s="5">
        <v>4608.9469410204683</v>
      </c>
      <c r="H23">
        <v>4.875</v>
      </c>
      <c r="I23">
        <v>4</v>
      </c>
      <c r="J23">
        <v>500</v>
      </c>
      <c r="K23">
        <v>7200</v>
      </c>
      <c r="L23">
        <v>720</v>
      </c>
      <c r="M23">
        <v>0</v>
      </c>
      <c r="N23">
        <v>0</v>
      </c>
      <c r="O23">
        <v>0</v>
      </c>
      <c r="P23">
        <v>0</v>
      </c>
      <c r="Q23">
        <v>0</v>
      </c>
      <c r="S23">
        <v>4271.1099999999997</v>
      </c>
      <c r="T23" s="3">
        <f t="shared" si="1"/>
        <v>7.9098159733762117</v>
      </c>
      <c r="U23" s="6">
        <f t="shared" si="1"/>
        <v>7.9098159733762117</v>
      </c>
      <c r="V23" s="8">
        <f t="shared" si="2"/>
        <v>0</v>
      </c>
      <c r="X23" s="23">
        <v>4608.9469410204683</v>
      </c>
      <c r="Y23">
        <v>4.96875</v>
      </c>
      <c r="Z23" s="22">
        <f t="shared" si="3"/>
        <v>7.9098159733762117</v>
      </c>
      <c r="AA23">
        <f t="shared" si="4"/>
        <v>0</v>
      </c>
      <c r="AC23" s="37">
        <v>4608.9469410204683</v>
      </c>
      <c r="AD23">
        <v>4.71875</v>
      </c>
      <c r="AE23" s="35">
        <f t="shared" si="5"/>
        <v>7.9098159733762117</v>
      </c>
      <c r="AF23">
        <f t="shared" si="6"/>
        <v>0</v>
      </c>
      <c r="AG23" s="3">
        <f t="shared" si="7"/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s="37">
        <f t="shared" si="8"/>
        <v>0</v>
      </c>
      <c r="AN23" s="37">
        <f t="shared" si="9"/>
        <v>0</v>
      </c>
      <c r="AO23" s="37">
        <f t="shared" si="10"/>
        <v>0</v>
      </c>
      <c r="AP23" s="37">
        <f t="shared" si="11"/>
        <v>0</v>
      </c>
      <c r="AQ23" s="37">
        <f t="shared" si="12"/>
        <v>0</v>
      </c>
    </row>
    <row r="24" spans="1:43" ht="15.75" thickBot="1" x14ac:dyDescent="0.3">
      <c r="A24" s="30" t="s">
        <v>39</v>
      </c>
      <c r="B24">
        <v>6</v>
      </c>
      <c r="C24">
        <v>168</v>
      </c>
      <c r="D24">
        <v>4</v>
      </c>
      <c r="E24">
        <v>40</v>
      </c>
      <c r="F24">
        <v>6836.8705930980686</v>
      </c>
      <c r="G24" s="5">
        <v>6836.8705930980686</v>
      </c>
      <c r="H24">
        <v>6.484375</v>
      </c>
      <c r="I24">
        <v>4</v>
      </c>
      <c r="J24">
        <v>500</v>
      </c>
      <c r="K24">
        <v>7200</v>
      </c>
      <c r="L24">
        <v>720</v>
      </c>
      <c r="M24">
        <v>0</v>
      </c>
      <c r="N24">
        <v>0</v>
      </c>
      <c r="O24">
        <v>0</v>
      </c>
      <c r="P24">
        <v>0</v>
      </c>
      <c r="Q24">
        <v>0</v>
      </c>
      <c r="S24">
        <v>6602.59</v>
      </c>
      <c r="T24" s="3">
        <f t="shared" si="1"/>
        <v>3.5483135117896012</v>
      </c>
      <c r="U24" s="7">
        <f t="shared" si="1"/>
        <v>3.5483135117896012</v>
      </c>
      <c r="V24" s="8">
        <f t="shared" si="2"/>
        <v>0</v>
      </c>
      <c r="X24" s="23">
        <v>6836.8705930980686</v>
      </c>
      <c r="Y24">
        <v>7.171875</v>
      </c>
      <c r="Z24" s="22">
        <f t="shared" si="3"/>
        <v>3.5483135117896012</v>
      </c>
      <c r="AA24">
        <f t="shared" si="4"/>
        <v>0</v>
      </c>
      <c r="AC24" s="37">
        <v>6836.8705930980686</v>
      </c>
      <c r="AD24">
        <v>6.171875</v>
      </c>
      <c r="AE24" s="35">
        <f t="shared" si="5"/>
        <v>3.5483135117896012</v>
      </c>
      <c r="AF24">
        <f t="shared" si="6"/>
        <v>0</v>
      </c>
      <c r="AG24" s="3">
        <f t="shared" si="7"/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37">
        <f t="shared" si="8"/>
        <v>0</v>
      </c>
      <c r="AN24" s="37">
        <f t="shared" si="9"/>
        <v>0</v>
      </c>
      <c r="AO24" s="37">
        <f t="shared" si="10"/>
        <v>0</v>
      </c>
      <c r="AP24" s="37">
        <f t="shared" si="11"/>
        <v>0</v>
      </c>
      <c r="AQ24" s="37">
        <f t="shared" si="12"/>
        <v>0</v>
      </c>
    </row>
    <row r="25" spans="1:43" x14ac:dyDescent="0.25">
      <c r="A25" s="30" t="s">
        <v>40</v>
      </c>
      <c r="B25">
        <v>3</v>
      </c>
      <c r="C25">
        <v>51</v>
      </c>
      <c r="D25">
        <v>6</v>
      </c>
      <c r="E25">
        <v>20</v>
      </c>
      <c r="F25">
        <v>5108.7119591551709</v>
      </c>
      <c r="G25" s="5">
        <v>4359.0199942098761</v>
      </c>
      <c r="H25">
        <v>60.21875</v>
      </c>
      <c r="I25">
        <v>4</v>
      </c>
      <c r="J25">
        <v>500</v>
      </c>
      <c r="K25">
        <v>7200</v>
      </c>
      <c r="L25">
        <v>720</v>
      </c>
      <c r="M25">
        <v>39</v>
      </c>
      <c r="N25">
        <v>9</v>
      </c>
      <c r="O25">
        <v>9</v>
      </c>
      <c r="P25">
        <v>1</v>
      </c>
      <c r="Q25">
        <v>0</v>
      </c>
      <c r="S25">
        <v>3687.46</v>
      </c>
      <c r="T25" s="3">
        <f t="shared" si="1"/>
        <v>38.542844102855923</v>
      </c>
      <c r="U25" s="6">
        <f t="shared" si="1"/>
        <v>18.211994006982479</v>
      </c>
      <c r="V25" s="3">
        <f t="shared" si="2"/>
        <v>20.330850095873444</v>
      </c>
      <c r="X25" s="23">
        <v>4359.0199942098761</v>
      </c>
      <c r="Y25">
        <v>64.78125</v>
      </c>
      <c r="Z25" s="22">
        <f t="shared" si="3"/>
        <v>18.211994006982479</v>
      </c>
      <c r="AA25">
        <f t="shared" si="4"/>
        <v>0</v>
      </c>
      <c r="AC25" s="37">
        <v>4359.0199942098761</v>
      </c>
      <c r="AD25">
        <v>52.296875</v>
      </c>
      <c r="AE25" s="35">
        <f t="shared" si="5"/>
        <v>18.211994006982479</v>
      </c>
      <c r="AF25">
        <f t="shared" si="6"/>
        <v>0</v>
      </c>
      <c r="AG25" s="3">
        <f t="shared" si="7"/>
        <v>0</v>
      </c>
      <c r="AH25">
        <v>39</v>
      </c>
      <c r="AI25">
        <v>9</v>
      </c>
      <c r="AJ25">
        <v>9</v>
      </c>
      <c r="AK25">
        <v>1</v>
      </c>
      <c r="AL25">
        <v>0</v>
      </c>
      <c r="AM25" s="37">
        <f t="shared" si="8"/>
        <v>0</v>
      </c>
      <c r="AN25" s="37">
        <f t="shared" si="9"/>
        <v>0</v>
      </c>
      <c r="AO25" s="37">
        <f t="shared" si="10"/>
        <v>0</v>
      </c>
      <c r="AP25" s="37">
        <f t="shared" si="11"/>
        <v>1</v>
      </c>
      <c r="AQ25" s="37">
        <f t="shared" si="12"/>
        <v>-1</v>
      </c>
    </row>
    <row r="26" spans="1:43" x14ac:dyDescent="0.25">
      <c r="A26" s="30" t="s">
        <v>41</v>
      </c>
      <c r="B26">
        <v>3</v>
      </c>
      <c r="C26">
        <v>51</v>
      </c>
      <c r="D26">
        <v>6</v>
      </c>
      <c r="E26">
        <v>20</v>
      </c>
      <c r="F26">
        <v>5108.7119591551709</v>
      </c>
      <c r="G26" s="5">
        <v>4359.0199942098761</v>
      </c>
      <c r="H26">
        <v>60.4375</v>
      </c>
      <c r="I26">
        <v>4</v>
      </c>
      <c r="J26">
        <v>500</v>
      </c>
      <c r="K26">
        <v>7200</v>
      </c>
      <c r="L26">
        <v>720</v>
      </c>
      <c r="M26">
        <v>39</v>
      </c>
      <c r="N26">
        <v>9</v>
      </c>
      <c r="O26">
        <v>9</v>
      </c>
      <c r="P26">
        <v>1</v>
      </c>
      <c r="Q26">
        <v>0</v>
      </c>
      <c r="S26">
        <v>3777.15</v>
      </c>
      <c r="T26" s="3">
        <f t="shared" si="1"/>
        <v>35.253086564080604</v>
      </c>
      <c r="U26" s="6">
        <f t="shared" si="1"/>
        <v>15.405000971893514</v>
      </c>
      <c r="V26" s="3">
        <f t="shared" si="2"/>
        <v>19.84808559218709</v>
      </c>
      <c r="X26" s="23">
        <v>4359.0199942098761</v>
      </c>
      <c r="Y26">
        <v>66.453125</v>
      </c>
      <c r="Z26" s="22">
        <f t="shared" si="3"/>
        <v>15.405000971893514</v>
      </c>
      <c r="AA26">
        <f t="shared" si="4"/>
        <v>0</v>
      </c>
      <c r="AC26" s="37">
        <v>4359.0199942098761</v>
      </c>
      <c r="AD26">
        <v>52.203125</v>
      </c>
      <c r="AE26" s="35">
        <f t="shared" si="5"/>
        <v>15.405000971893514</v>
      </c>
      <c r="AF26">
        <f t="shared" si="6"/>
        <v>0</v>
      </c>
      <c r="AG26" s="3">
        <f t="shared" si="7"/>
        <v>0</v>
      </c>
      <c r="AH26">
        <v>39</v>
      </c>
      <c r="AI26">
        <v>9</v>
      </c>
      <c r="AJ26">
        <v>9</v>
      </c>
      <c r="AK26">
        <v>1</v>
      </c>
      <c r="AL26">
        <v>0</v>
      </c>
      <c r="AM26" s="37">
        <f t="shared" si="8"/>
        <v>0</v>
      </c>
      <c r="AN26" s="37">
        <f t="shared" si="9"/>
        <v>0</v>
      </c>
      <c r="AO26" s="37">
        <f t="shared" si="10"/>
        <v>0</v>
      </c>
      <c r="AP26" s="37">
        <f t="shared" si="11"/>
        <v>1</v>
      </c>
      <c r="AQ26" s="37">
        <f t="shared" si="12"/>
        <v>-1</v>
      </c>
    </row>
    <row r="27" spans="1:43" x14ac:dyDescent="0.25">
      <c r="A27" s="30" t="s">
        <v>42</v>
      </c>
      <c r="B27">
        <v>3</v>
      </c>
      <c r="C27">
        <v>51</v>
      </c>
      <c r="D27">
        <v>6</v>
      </c>
      <c r="E27">
        <v>20</v>
      </c>
      <c r="F27">
        <v>5095.5001427590814</v>
      </c>
      <c r="G27" s="5">
        <v>4430.2496809194881</v>
      </c>
      <c r="H27">
        <v>44.203125</v>
      </c>
      <c r="I27">
        <v>4</v>
      </c>
      <c r="J27">
        <v>500</v>
      </c>
      <c r="K27">
        <v>7200</v>
      </c>
      <c r="L27">
        <v>720</v>
      </c>
      <c r="M27">
        <v>34</v>
      </c>
      <c r="N27">
        <v>8</v>
      </c>
      <c r="O27">
        <v>4</v>
      </c>
      <c r="P27">
        <v>1</v>
      </c>
      <c r="Q27">
        <v>0</v>
      </c>
      <c r="S27">
        <v>3795.33</v>
      </c>
      <c r="T27" s="3">
        <f t="shared" si="1"/>
        <v>34.257103934548013</v>
      </c>
      <c r="U27" s="6">
        <f t="shared" si="1"/>
        <v>16.728971681500383</v>
      </c>
      <c r="V27" s="3">
        <f t="shared" si="2"/>
        <v>17.52813225304763</v>
      </c>
      <c r="X27" s="23">
        <v>4430.2496809194881</v>
      </c>
      <c r="Y27">
        <v>47.78125</v>
      </c>
      <c r="Z27" s="22">
        <f t="shared" si="3"/>
        <v>16.728971681500383</v>
      </c>
      <c r="AA27">
        <f t="shared" si="4"/>
        <v>0</v>
      </c>
      <c r="AC27" s="37">
        <v>4426.6274544673024</v>
      </c>
      <c r="AD27">
        <v>46.203125</v>
      </c>
      <c r="AE27" s="35">
        <f t="shared" si="5"/>
        <v>16.633532643203679</v>
      </c>
      <c r="AF27">
        <f t="shared" si="6"/>
        <v>-3.6222264521857142</v>
      </c>
      <c r="AG27" s="3">
        <f t="shared" si="7"/>
        <v>-9.5439038296703416E-2</v>
      </c>
      <c r="AH27">
        <v>35</v>
      </c>
      <c r="AI27">
        <v>8</v>
      </c>
      <c r="AJ27">
        <v>4</v>
      </c>
      <c r="AK27">
        <v>1</v>
      </c>
      <c r="AL27">
        <v>1</v>
      </c>
      <c r="AM27" s="37">
        <f t="shared" si="8"/>
        <v>1</v>
      </c>
      <c r="AN27" s="37">
        <f t="shared" si="9"/>
        <v>0</v>
      </c>
      <c r="AO27" s="37">
        <f t="shared" si="10"/>
        <v>0</v>
      </c>
      <c r="AP27" s="37">
        <f t="shared" si="11"/>
        <v>1</v>
      </c>
      <c r="AQ27" s="37">
        <f t="shared" si="12"/>
        <v>0</v>
      </c>
    </row>
    <row r="28" spans="1:43" x14ac:dyDescent="0.25">
      <c r="A28" s="30" t="s">
        <v>43</v>
      </c>
      <c r="B28">
        <v>6</v>
      </c>
      <c r="C28">
        <v>102</v>
      </c>
      <c r="D28">
        <v>6</v>
      </c>
      <c r="E28">
        <v>20</v>
      </c>
      <c r="F28">
        <v>33794.612677890836</v>
      </c>
      <c r="G28" s="5">
        <v>29031.51552242758</v>
      </c>
      <c r="H28">
        <v>269.078125</v>
      </c>
      <c r="I28">
        <v>4</v>
      </c>
      <c r="J28">
        <v>500</v>
      </c>
      <c r="K28">
        <v>7200</v>
      </c>
      <c r="L28">
        <v>720</v>
      </c>
      <c r="M28">
        <v>87</v>
      </c>
      <c r="N28">
        <v>10</v>
      </c>
      <c r="O28">
        <v>17</v>
      </c>
      <c r="P28">
        <v>2</v>
      </c>
      <c r="Q28">
        <v>0</v>
      </c>
      <c r="S28">
        <v>21956.46</v>
      </c>
      <c r="T28" s="3">
        <f t="shared" si="1"/>
        <v>53.916490535773249</v>
      </c>
      <c r="U28" s="6">
        <f t="shared" si="1"/>
        <v>32.223115759223418</v>
      </c>
      <c r="V28" s="3">
        <f t="shared" si="2"/>
        <v>21.693374776549831</v>
      </c>
      <c r="X28" s="23">
        <v>29031.51552242758</v>
      </c>
      <c r="Y28">
        <v>296.890625</v>
      </c>
      <c r="Z28" s="22">
        <f t="shared" si="3"/>
        <v>32.223115759223418</v>
      </c>
      <c r="AA28">
        <f t="shared" si="4"/>
        <v>0</v>
      </c>
      <c r="AC28" s="37">
        <v>28280.02176299733</v>
      </c>
      <c r="AD28">
        <v>534.84375</v>
      </c>
      <c r="AE28" s="35">
        <f t="shared" si="5"/>
        <v>28.800461290195841</v>
      </c>
      <c r="AF28">
        <f t="shared" si="6"/>
        <v>-751.49375943025007</v>
      </c>
      <c r="AG28" s="3">
        <f t="shared" si="7"/>
        <v>-3.4226544690275773</v>
      </c>
      <c r="AH28">
        <v>105</v>
      </c>
      <c r="AI28">
        <v>16</v>
      </c>
      <c r="AJ28">
        <v>23</v>
      </c>
      <c r="AK28">
        <v>2</v>
      </c>
      <c r="AL28">
        <v>3</v>
      </c>
      <c r="AM28" s="37">
        <f t="shared" si="8"/>
        <v>18</v>
      </c>
      <c r="AN28" s="37">
        <f t="shared" si="9"/>
        <v>6</v>
      </c>
      <c r="AO28" s="37">
        <f t="shared" si="10"/>
        <v>6</v>
      </c>
      <c r="AP28" s="37">
        <f t="shared" si="11"/>
        <v>2</v>
      </c>
      <c r="AQ28" s="37">
        <f t="shared" si="12"/>
        <v>1</v>
      </c>
    </row>
    <row r="29" spans="1:43" x14ac:dyDescent="0.25">
      <c r="A29" s="30" t="s">
        <v>44</v>
      </c>
      <c r="B29">
        <v>6</v>
      </c>
      <c r="C29">
        <v>102</v>
      </c>
      <c r="D29">
        <v>6</v>
      </c>
      <c r="E29">
        <v>20</v>
      </c>
      <c r="F29">
        <v>33794.612677890836</v>
      </c>
      <c r="G29" s="5">
        <v>29573.104015644461</v>
      </c>
      <c r="H29">
        <v>258.15625</v>
      </c>
      <c r="I29">
        <v>4</v>
      </c>
      <c r="J29">
        <v>500</v>
      </c>
      <c r="K29">
        <v>7200</v>
      </c>
      <c r="L29">
        <v>720</v>
      </c>
      <c r="M29">
        <v>93</v>
      </c>
      <c r="N29">
        <v>18</v>
      </c>
      <c r="O29">
        <v>16</v>
      </c>
      <c r="P29">
        <v>0</v>
      </c>
      <c r="Q29">
        <v>0</v>
      </c>
      <c r="S29">
        <v>22934.71</v>
      </c>
      <c r="T29" s="3">
        <f t="shared" si="1"/>
        <v>47.351384333574913</v>
      </c>
      <c r="U29" s="6">
        <f t="shared" si="1"/>
        <v>28.944748007035912</v>
      </c>
      <c r="V29" s="3">
        <f t="shared" si="2"/>
        <v>18.406636326539001</v>
      </c>
      <c r="X29" s="23">
        <v>29573.104015644461</v>
      </c>
      <c r="Y29">
        <v>287.765625</v>
      </c>
      <c r="Z29" s="22">
        <f t="shared" si="3"/>
        <v>28.944748007035912</v>
      </c>
      <c r="AA29">
        <f t="shared" si="4"/>
        <v>0</v>
      </c>
      <c r="AC29" s="37">
        <v>28655.217114491981</v>
      </c>
      <c r="AD29">
        <v>412.328125</v>
      </c>
      <c r="AE29" s="35">
        <f t="shared" si="5"/>
        <v>24.94257444062724</v>
      </c>
      <c r="AF29">
        <f t="shared" si="6"/>
        <v>-917.88690115248028</v>
      </c>
      <c r="AG29" s="3">
        <f t="shared" si="7"/>
        <v>-4.0021735664086719</v>
      </c>
      <c r="AH29">
        <v>123</v>
      </c>
      <c r="AI29">
        <v>23</v>
      </c>
      <c r="AJ29">
        <v>22</v>
      </c>
      <c r="AK29">
        <v>3</v>
      </c>
      <c r="AL29">
        <v>0</v>
      </c>
      <c r="AM29" s="37">
        <f t="shared" si="8"/>
        <v>30</v>
      </c>
      <c r="AN29" s="37">
        <f t="shared" si="9"/>
        <v>5</v>
      </c>
      <c r="AO29" s="37">
        <f t="shared" si="10"/>
        <v>6</v>
      </c>
      <c r="AP29" s="37">
        <f t="shared" si="11"/>
        <v>3</v>
      </c>
      <c r="AQ29" s="37">
        <f t="shared" si="12"/>
        <v>0</v>
      </c>
    </row>
    <row r="30" spans="1:43" x14ac:dyDescent="0.25">
      <c r="A30" s="30" t="s">
        <v>45</v>
      </c>
      <c r="B30">
        <v>6</v>
      </c>
      <c r="C30">
        <v>102</v>
      </c>
      <c r="D30">
        <v>6</v>
      </c>
      <c r="E30">
        <v>20</v>
      </c>
      <c r="F30">
        <v>34142.254083445099</v>
      </c>
      <c r="G30" s="5">
        <v>29796.684656668509</v>
      </c>
      <c r="H30">
        <v>421.15625</v>
      </c>
      <c r="I30">
        <v>4</v>
      </c>
      <c r="J30">
        <v>500</v>
      </c>
      <c r="K30">
        <v>7200</v>
      </c>
      <c r="L30">
        <v>720</v>
      </c>
      <c r="M30">
        <v>78</v>
      </c>
      <c r="N30">
        <v>45</v>
      </c>
      <c r="O30">
        <v>18</v>
      </c>
      <c r="P30">
        <v>1</v>
      </c>
      <c r="Q30">
        <v>0</v>
      </c>
      <c r="S30">
        <v>22909.360000000001</v>
      </c>
      <c r="T30" s="3">
        <f t="shared" si="1"/>
        <v>49.031898243534954</v>
      </c>
      <c r="U30" s="6">
        <f t="shared" si="1"/>
        <v>30.063365614179133</v>
      </c>
      <c r="V30" s="3">
        <f t="shared" si="2"/>
        <v>18.968532629355821</v>
      </c>
      <c r="X30" s="23">
        <v>29796.684656668509</v>
      </c>
      <c r="Y30">
        <v>459.34375</v>
      </c>
      <c r="Z30" s="22">
        <f t="shared" si="3"/>
        <v>30.063365614179133</v>
      </c>
      <c r="AA30">
        <f t="shared" si="4"/>
        <v>0</v>
      </c>
      <c r="AC30" s="37">
        <v>29723.699886679111</v>
      </c>
      <c r="AD30">
        <v>497.3125</v>
      </c>
      <c r="AE30" s="35">
        <f t="shared" si="5"/>
        <v>29.744785042790852</v>
      </c>
      <c r="AF30">
        <f t="shared" si="6"/>
        <v>-72.984769989398046</v>
      </c>
      <c r="AG30" s="3">
        <f t="shared" si="7"/>
        <v>-0.31858057138828144</v>
      </c>
      <c r="AH30">
        <v>81</v>
      </c>
      <c r="AI30">
        <v>44</v>
      </c>
      <c r="AJ30">
        <v>21</v>
      </c>
      <c r="AK30">
        <v>1</v>
      </c>
      <c r="AL30">
        <v>0</v>
      </c>
      <c r="AM30" s="37">
        <f t="shared" si="8"/>
        <v>3</v>
      </c>
      <c r="AN30" s="37">
        <f t="shared" si="9"/>
        <v>-1</v>
      </c>
      <c r="AO30" s="37">
        <f t="shared" si="10"/>
        <v>3</v>
      </c>
      <c r="AP30" s="37">
        <f t="shared" si="11"/>
        <v>1</v>
      </c>
      <c r="AQ30" s="37">
        <f t="shared" si="12"/>
        <v>-1</v>
      </c>
    </row>
    <row r="31" spans="1:43" ht="15.75" thickBot="1" x14ac:dyDescent="0.3">
      <c r="A31" s="30" t="s">
        <v>46</v>
      </c>
      <c r="B31">
        <v>9</v>
      </c>
      <c r="C31">
        <v>153</v>
      </c>
      <c r="D31">
        <v>6</v>
      </c>
      <c r="E31">
        <v>20</v>
      </c>
      <c r="F31">
        <v>125606.574243333</v>
      </c>
      <c r="G31" s="5">
        <v>99820.059557291795</v>
      </c>
      <c r="H31">
        <v>2697.03125</v>
      </c>
      <c r="I31">
        <v>4</v>
      </c>
      <c r="J31">
        <v>500</v>
      </c>
      <c r="K31">
        <v>7200</v>
      </c>
      <c r="L31">
        <v>720</v>
      </c>
      <c r="M31">
        <v>157</v>
      </c>
      <c r="N31">
        <v>25</v>
      </c>
      <c r="O31">
        <v>60</v>
      </c>
      <c r="P31">
        <v>1</v>
      </c>
      <c r="Q31">
        <v>0</v>
      </c>
      <c r="S31">
        <v>75016.58</v>
      </c>
      <c r="T31" s="3">
        <f t="shared" si="1"/>
        <v>67.438417271665799</v>
      </c>
      <c r="U31" s="6">
        <f t="shared" si="1"/>
        <v>33.063996728845524</v>
      </c>
      <c r="V31" s="3">
        <f t="shared" si="2"/>
        <v>34.374420542820275</v>
      </c>
      <c r="X31" s="23">
        <v>99820.059557291795</v>
      </c>
      <c r="Y31">
        <v>2888.265625</v>
      </c>
      <c r="Z31" s="22">
        <f t="shared" si="3"/>
        <v>33.063996728845524</v>
      </c>
      <c r="AA31">
        <f t="shared" si="4"/>
        <v>0</v>
      </c>
      <c r="AC31" s="37">
        <v>100357.5831102479</v>
      </c>
      <c r="AD31">
        <v>2404.015625</v>
      </c>
      <c r="AE31" s="35">
        <f t="shared" si="5"/>
        <v>33.78053639641783</v>
      </c>
      <c r="AF31">
        <f t="shared" si="6"/>
        <v>537.52355295610323</v>
      </c>
      <c r="AG31" s="3">
        <f t="shared" si="7"/>
        <v>0.71653966757230592</v>
      </c>
      <c r="AH31">
        <v>154</v>
      </c>
      <c r="AI31">
        <v>24</v>
      </c>
      <c r="AJ31">
        <v>54</v>
      </c>
      <c r="AK31">
        <v>0</v>
      </c>
      <c r="AL31">
        <v>1</v>
      </c>
      <c r="AM31" s="37">
        <f t="shared" si="8"/>
        <v>-3</v>
      </c>
      <c r="AN31" s="37">
        <f t="shared" si="9"/>
        <v>-1</v>
      </c>
      <c r="AO31" s="37">
        <f t="shared" si="10"/>
        <v>-6</v>
      </c>
      <c r="AP31" s="37">
        <f t="shared" si="11"/>
        <v>0</v>
      </c>
      <c r="AQ31" s="37">
        <f t="shared" si="12"/>
        <v>0</v>
      </c>
    </row>
    <row r="32" spans="1:43" ht="15.75" thickBot="1" x14ac:dyDescent="0.3">
      <c r="A32" s="30" t="s">
        <v>47</v>
      </c>
      <c r="B32">
        <v>9</v>
      </c>
      <c r="C32">
        <v>153</v>
      </c>
      <c r="D32">
        <v>6</v>
      </c>
      <c r="E32">
        <v>20</v>
      </c>
      <c r="F32">
        <v>127635.67882667739</v>
      </c>
      <c r="G32" s="5">
        <v>105734.17537642449</v>
      </c>
      <c r="H32">
        <v>1567.296875</v>
      </c>
      <c r="I32">
        <v>4</v>
      </c>
      <c r="J32">
        <v>500</v>
      </c>
      <c r="K32">
        <v>7200</v>
      </c>
      <c r="L32">
        <v>720</v>
      </c>
      <c r="M32">
        <v>122</v>
      </c>
      <c r="N32">
        <v>34</v>
      </c>
      <c r="O32">
        <v>36</v>
      </c>
      <c r="P32">
        <v>1</v>
      </c>
      <c r="Q32">
        <v>0</v>
      </c>
      <c r="S32">
        <v>78179.89</v>
      </c>
      <c r="T32" s="3">
        <f t="shared" si="1"/>
        <v>63.258964455792125</v>
      </c>
      <c r="U32" s="6">
        <f t="shared" si="1"/>
        <v>35.244722621667137</v>
      </c>
      <c r="V32" s="3">
        <f t="shared" si="2"/>
        <v>28.014241834124988</v>
      </c>
      <c r="X32" s="23">
        <v>105734.17537642449</v>
      </c>
      <c r="Y32">
        <v>1694.109375</v>
      </c>
      <c r="Z32" s="22">
        <f t="shared" si="3"/>
        <v>35.244722621667137</v>
      </c>
      <c r="AA32">
        <f t="shared" si="4"/>
        <v>0</v>
      </c>
      <c r="AC32" s="37">
        <v>100105.9101528083</v>
      </c>
      <c r="AD32">
        <v>3787.625</v>
      </c>
      <c r="AE32" s="35">
        <f t="shared" si="5"/>
        <v>28.045601180569975</v>
      </c>
      <c r="AF32">
        <f t="shared" si="6"/>
        <v>-5628.2652236161957</v>
      </c>
      <c r="AG32" s="8">
        <f t="shared" si="7"/>
        <v>-7.1991214410971622</v>
      </c>
      <c r="AH32">
        <v>154</v>
      </c>
      <c r="AI32">
        <v>60</v>
      </c>
      <c r="AJ32">
        <v>56</v>
      </c>
      <c r="AK32">
        <v>4</v>
      </c>
      <c r="AL32">
        <v>5</v>
      </c>
      <c r="AM32" s="39">
        <f t="shared" si="8"/>
        <v>32</v>
      </c>
      <c r="AN32" s="39">
        <f t="shared" si="9"/>
        <v>26</v>
      </c>
      <c r="AO32" s="39">
        <f t="shared" si="10"/>
        <v>20</v>
      </c>
      <c r="AP32" s="39">
        <f t="shared" si="11"/>
        <v>4</v>
      </c>
      <c r="AQ32" s="37">
        <f t="shared" si="12"/>
        <v>4</v>
      </c>
    </row>
    <row r="33" spans="1:43" ht="15.75" thickBot="1" x14ac:dyDescent="0.3">
      <c r="A33" s="30" t="s">
        <v>48</v>
      </c>
      <c r="B33">
        <v>9</v>
      </c>
      <c r="C33">
        <v>153</v>
      </c>
      <c r="D33">
        <v>6</v>
      </c>
      <c r="E33">
        <v>20</v>
      </c>
      <c r="F33">
        <v>126353.9267526294</v>
      </c>
      <c r="G33" s="5">
        <v>100816.2334861796</v>
      </c>
      <c r="H33">
        <v>4883.796875</v>
      </c>
      <c r="I33">
        <v>4</v>
      </c>
      <c r="J33">
        <v>500</v>
      </c>
      <c r="K33">
        <v>7200</v>
      </c>
      <c r="L33">
        <v>720</v>
      </c>
      <c r="M33">
        <v>115</v>
      </c>
      <c r="N33">
        <v>53</v>
      </c>
      <c r="O33">
        <v>83</v>
      </c>
      <c r="P33">
        <v>6</v>
      </c>
      <c r="Q33">
        <v>0</v>
      </c>
      <c r="S33">
        <v>80479.199999999997</v>
      </c>
      <c r="T33" s="3">
        <f t="shared" si="1"/>
        <v>57.00196666049041</v>
      </c>
      <c r="U33" s="6">
        <f t="shared" si="1"/>
        <v>25.269925006932979</v>
      </c>
      <c r="V33" s="3">
        <f t="shared" si="2"/>
        <v>31.732041653557431</v>
      </c>
      <c r="X33" s="23">
        <v>100816.2334861796</v>
      </c>
      <c r="Y33">
        <v>5133.765625</v>
      </c>
      <c r="Z33" s="22">
        <f t="shared" si="3"/>
        <v>25.269925006932979</v>
      </c>
      <c r="AA33">
        <f t="shared" si="4"/>
        <v>0</v>
      </c>
      <c r="AC33" s="37">
        <v>102645.477494591</v>
      </c>
      <c r="AD33">
        <v>2228.84375</v>
      </c>
      <c r="AE33" s="35">
        <f>(AC33*100)/$S33-100</f>
        <v>27.542865106252307</v>
      </c>
      <c r="AF33">
        <f t="shared" si="6"/>
        <v>1829.244008411406</v>
      </c>
      <c r="AG33" s="3">
        <f t="shared" si="7"/>
        <v>2.2729400993193281</v>
      </c>
      <c r="AH33">
        <v>105</v>
      </c>
      <c r="AI33">
        <v>28</v>
      </c>
      <c r="AJ33">
        <v>47</v>
      </c>
      <c r="AK33">
        <v>2</v>
      </c>
      <c r="AL33">
        <v>0</v>
      </c>
      <c r="AM33" s="39">
        <f t="shared" si="8"/>
        <v>-10</v>
      </c>
      <c r="AN33" s="39">
        <f t="shared" si="9"/>
        <v>-25</v>
      </c>
      <c r="AO33" s="39">
        <f t="shared" si="10"/>
        <v>-36</v>
      </c>
      <c r="AP33" s="37">
        <f t="shared" si="11"/>
        <v>2</v>
      </c>
      <c r="AQ33" s="37">
        <f t="shared" si="12"/>
        <v>-6</v>
      </c>
    </row>
    <row r="34" spans="1:43" x14ac:dyDescent="0.25">
      <c r="AM34" s="34" t="s">
        <v>57</v>
      </c>
      <c r="AN34" s="34"/>
      <c r="AO34" s="34"/>
      <c r="AP34" s="34"/>
      <c r="AQ34" s="34"/>
    </row>
    <row r="35" spans="1:43" x14ac:dyDescent="0.25">
      <c r="T35" s="3">
        <f>SUM(T2:T33)/32</f>
        <v>33.879336864738725</v>
      </c>
      <c r="U35" s="6">
        <f>SUM(U2:U33)/32</f>
        <v>18.797779164296646</v>
      </c>
      <c r="Z35" s="22">
        <f>SUM(Z2:Z33)/32</f>
        <v>18.81056747750446</v>
      </c>
      <c r="AE35" s="35">
        <f>SUM(AE2:AE33)/32</f>
        <v>18.166955225144651</v>
      </c>
    </row>
    <row r="37" spans="1:43" ht="15.75" thickBot="1" x14ac:dyDescent="0.3">
      <c r="P37" s="5"/>
      <c r="Q37" t="s">
        <v>58</v>
      </c>
      <c r="X37" s="28" t="s">
        <v>12</v>
      </c>
      <c r="Y37" s="28" t="s">
        <v>13</v>
      </c>
      <c r="Z37" s="28" t="s">
        <v>14</v>
      </c>
      <c r="AA37" s="28" t="s">
        <v>15</v>
      </c>
      <c r="AB37" s="28" t="s">
        <v>16</v>
      </c>
    </row>
    <row r="38" spans="1:43" ht="15.75" thickBot="1" x14ac:dyDescent="0.3">
      <c r="P38" s="23"/>
      <c r="Q38" t="s">
        <v>59</v>
      </c>
      <c r="X38" s="25">
        <v>87</v>
      </c>
      <c r="Y38" s="26">
        <v>79</v>
      </c>
      <c r="Z38" s="26">
        <v>21</v>
      </c>
      <c r="AA38" s="26">
        <v>0</v>
      </c>
      <c r="AB38" s="27">
        <v>0</v>
      </c>
    </row>
    <row r="39" spans="1:43" x14ac:dyDescent="0.25">
      <c r="P39" s="37"/>
      <c r="Q39" t="s">
        <v>61</v>
      </c>
    </row>
    <row r="41" spans="1:43" x14ac:dyDescent="0.25">
      <c r="P41" s="29"/>
      <c r="Q41" t="s">
        <v>60</v>
      </c>
    </row>
  </sheetData>
  <mergeCells count="1">
    <mergeCell ref="AM34:AQ3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F52E-928E-4CB0-9EE8-093C9F576A23}">
  <dimension ref="A1:V35"/>
  <sheetViews>
    <sheetView topLeftCell="C6" workbookViewId="0">
      <selection activeCell="AA17" sqref="AA17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51</v>
      </c>
      <c r="T1" s="1" t="s">
        <v>49</v>
      </c>
      <c r="U1" s="4" t="s">
        <v>50</v>
      </c>
      <c r="V1" s="1" t="s">
        <v>52</v>
      </c>
    </row>
    <row r="2" spans="1:22" x14ac:dyDescent="0.25">
      <c r="A2" s="2" t="s">
        <v>17</v>
      </c>
      <c r="B2">
        <v>3</v>
      </c>
      <c r="C2">
        <v>51</v>
      </c>
      <c r="D2">
        <v>2</v>
      </c>
      <c r="E2">
        <v>160</v>
      </c>
      <c r="F2">
        <v>699.94207123913566</v>
      </c>
      <c r="G2" s="5">
        <v>599.9329154940724</v>
      </c>
      <c r="H2">
        <v>15.0625</v>
      </c>
      <c r="I2">
        <v>4</v>
      </c>
      <c r="J2">
        <v>750</v>
      </c>
      <c r="K2">
        <v>7200</v>
      </c>
      <c r="L2">
        <v>720</v>
      </c>
      <c r="M2">
        <v>2</v>
      </c>
      <c r="N2">
        <v>3</v>
      </c>
      <c r="O2">
        <v>3</v>
      </c>
      <c r="P2">
        <v>2</v>
      </c>
      <c r="Q2">
        <v>0</v>
      </c>
      <c r="S2">
        <v>524.61</v>
      </c>
      <c r="T2" s="3">
        <f>(F2*100)/$S$2-100</f>
        <v>33.421412332806398</v>
      </c>
      <c r="U2" s="6">
        <f>(G2*100)/$S2-100</f>
        <v>14.357887858422899</v>
      </c>
      <c r="V2" s="3">
        <f>T2-U2</f>
        <v>19.063524474383499</v>
      </c>
    </row>
    <row r="3" spans="1:22" x14ac:dyDescent="0.25">
      <c r="A3" s="2" t="s">
        <v>18</v>
      </c>
      <c r="B3">
        <v>3</v>
      </c>
      <c r="C3">
        <v>50</v>
      </c>
      <c r="D3">
        <v>5</v>
      </c>
      <c r="E3">
        <v>160</v>
      </c>
      <c r="F3">
        <v>1806.0337130867761</v>
      </c>
      <c r="G3" s="5">
        <v>1628.8983584984351</v>
      </c>
      <c r="H3">
        <v>47.640625</v>
      </c>
      <c r="I3">
        <v>4</v>
      </c>
      <c r="J3">
        <v>750</v>
      </c>
      <c r="K3">
        <v>7200</v>
      </c>
      <c r="L3">
        <v>720</v>
      </c>
      <c r="M3">
        <v>30</v>
      </c>
      <c r="N3">
        <v>2</v>
      </c>
      <c r="O3">
        <v>7</v>
      </c>
      <c r="P3">
        <v>1</v>
      </c>
      <c r="Q3">
        <v>0</v>
      </c>
      <c r="S3">
        <v>1322.87</v>
      </c>
      <c r="T3" s="3">
        <f t="shared" ref="T3:T33" si="0">(F3*100)/S3-100</f>
        <v>36.523899785071563</v>
      </c>
      <c r="U3" s="6">
        <f t="shared" ref="U3:U33" si="1">(G3*100)/$S3-100</f>
        <v>23.133668349757372</v>
      </c>
      <c r="V3" s="3">
        <f t="shared" ref="V3:V33" si="2">T3-U3</f>
        <v>13.390231435314192</v>
      </c>
    </row>
    <row r="4" spans="1:22" x14ac:dyDescent="0.25">
      <c r="A4" s="2" t="s">
        <v>19</v>
      </c>
      <c r="B4">
        <v>1</v>
      </c>
      <c r="C4">
        <v>50</v>
      </c>
      <c r="D4">
        <v>5</v>
      </c>
      <c r="E4">
        <v>160</v>
      </c>
      <c r="F4">
        <v>707.71782597313984</v>
      </c>
      <c r="G4" s="5">
        <v>630.48644546083551</v>
      </c>
      <c r="H4">
        <v>6.34375</v>
      </c>
      <c r="I4">
        <v>1</v>
      </c>
      <c r="J4">
        <v>750</v>
      </c>
      <c r="K4">
        <v>7200</v>
      </c>
      <c r="L4">
        <v>720</v>
      </c>
      <c r="M4">
        <v>5</v>
      </c>
      <c r="N4">
        <v>8</v>
      </c>
      <c r="O4">
        <v>0</v>
      </c>
      <c r="P4">
        <v>0</v>
      </c>
      <c r="Q4">
        <v>0</v>
      </c>
      <c r="S4">
        <v>524.61</v>
      </c>
      <c r="T4" s="3">
        <f t="shared" si="0"/>
        <v>34.903609533394302</v>
      </c>
      <c r="U4" s="6">
        <f t="shared" si="1"/>
        <v>20.181934286581551</v>
      </c>
      <c r="V4" s="3">
        <f t="shared" si="2"/>
        <v>14.721675246812751</v>
      </c>
    </row>
    <row r="5" spans="1:22" x14ac:dyDescent="0.25">
      <c r="A5" s="2" t="s">
        <v>20</v>
      </c>
      <c r="B5">
        <v>5</v>
      </c>
      <c r="C5">
        <v>75</v>
      </c>
      <c r="D5">
        <v>2</v>
      </c>
      <c r="E5">
        <v>140</v>
      </c>
      <c r="F5">
        <v>1191.564504632046</v>
      </c>
      <c r="G5" s="5">
        <v>988.04915608435317</v>
      </c>
      <c r="H5">
        <v>153.28125</v>
      </c>
      <c r="I5">
        <v>4</v>
      </c>
      <c r="J5">
        <v>750</v>
      </c>
      <c r="K5">
        <v>7200</v>
      </c>
      <c r="L5">
        <v>720</v>
      </c>
      <c r="M5">
        <v>4</v>
      </c>
      <c r="N5">
        <v>7</v>
      </c>
      <c r="O5">
        <v>15</v>
      </c>
      <c r="P5">
        <v>9</v>
      </c>
      <c r="Q5">
        <v>2</v>
      </c>
      <c r="S5">
        <v>835.43</v>
      </c>
      <c r="T5" s="3">
        <f t="shared" si="0"/>
        <v>42.628886277970167</v>
      </c>
      <c r="U5" s="6">
        <f t="shared" si="1"/>
        <v>18.268335597758423</v>
      </c>
      <c r="V5" s="3">
        <f t="shared" si="2"/>
        <v>24.360550680211745</v>
      </c>
    </row>
    <row r="6" spans="1:22" x14ac:dyDescent="0.25">
      <c r="A6" s="2" t="s">
        <v>21</v>
      </c>
      <c r="B6">
        <v>6</v>
      </c>
      <c r="C6">
        <v>75</v>
      </c>
      <c r="D6">
        <v>5</v>
      </c>
      <c r="E6">
        <v>140</v>
      </c>
      <c r="F6">
        <v>2803.0667370561068</v>
      </c>
      <c r="G6" s="5">
        <v>2388.285146680641</v>
      </c>
      <c r="H6">
        <v>210.984375</v>
      </c>
      <c r="I6">
        <v>4</v>
      </c>
      <c r="J6">
        <v>750</v>
      </c>
      <c r="K6">
        <v>7200</v>
      </c>
      <c r="L6">
        <v>720</v>
      </c>
      <c r="M6">
        <v>30</v>
      </c>
      <c r="N6">
        <v>4</v>
      </c>
      <c r="O6">
        <v>15</v>
      </c>
      <c r="P6">
        <v>3</v>
      </c>
      <c r="Q6">
        <v>0</v>
      </c>
      <c r="S6">
        <v>2027.99</v>
      </c>
      <c r="T6" s="3">
        <f t="shared" si="0"/>
        <v>38.21896247299577</v>
      </c>
      <c r="U6" s="6">
        <f t="shared" si="1"/>
        <v>17.766120477943232</v>
      </c>
      <c r="V6" s="3">
        <f t="shared" si="2"/>
        <v>20.452841995052538</v>
      </c>
    </row>
    <row r="7" spans="1:22" x14ac:dyDescent="0.25">
      <c r="A7" s="2" t="s">
        <v>22</v>
      </c>
      <c r="B7">
        <v>1</v>
      </c>
      <c r="C7">
        <v>75</v>
      </c>
      <c r="D7">
        <v>10</v>
      </c>
      <c r="E7">
        <v>140</v>
      </c>
      <c r="F7">
        <v>1202.7378153136131</v>
      </c>
      <c r="G7" s="5">
        <v>983.8040520181894</v>
      </c>
      <c r="H7">
        <v>27.34375</v>
      </c>
      <c r="I7">
        <v>1</v>
      </c>
      <c r="J7">
        <v>750</v>
      </c>
      <c r="K7">
        <v>7200</v>
      </c>
      <c r="L7">
        <v>720</v>
      </c>
      <c r="M7">
        <v>21</v>
      </c>
      <c r="N7">
        <v>15</v>
      </c>
      <c r="O7">
        <v>0</v>
      </c>
      <c r="P7">
        <v>0</v>
      </c>
      <c r="Q7">
        <v>0</v>
      </c>
      <c r="S7">
        <v>836.37</v>
      </c>
      <c r="T7" s="3">
        <f t="shared" si="0"/>
        <v>43.804514187932739</v>
      </c>
      <c r="U7" s="6">
        <f t="shared" si="1"/>
        <v>17.627850355487325</v>
      </c>
      <c r="V7" s="3">
        <f t="shared" si="2"/>
        <v>26.176663832445414</v>
      </c>
    </row>
    <row r="8" spans="1:22" x14ac:dyDescent="0.25">
      <c r="A8" s="2" t="s">
        <v>23</v>
      </c>
      <c r="B8">
        <v>4</v>
      </c>
      <c r="C8">
        <v>100</v>
      </c>
      <c r="D8">
        <v>2</v>
      </c>
      <c r="E8">
        <v>200</v>
      </c>
      <c r="F8">
        <v>1215.7122377784151</v>
      </c>
      <c r="G8" s="5">
        <v>987.33944186748886</v>
      </c>
      <c r="H8">
        <v>185.859375</v>
      </c>
      <c r="I8">
        <v>4</v>
      </c>
      <c r="J8">
        <v>750</v>
      </c>
      <c r="K8">
        <v>7200</v>
      </c>
      <c r="L8">
        <v>720</v>
      </c>
      <c r="M8">
        <v>22</v>
      </c>
      <c r="N8">
        <v>5</v>
      </c>
      <c r="O8">
        <v>51</v>
      </c>
      <c r="P8">
        <v>4</v>
      </c>
      <c r="Q8">
        <v>3</v>
      </c>
      <c r="S8">
        <v>826.14</v>
      </c>
      <c r="T8" s="3">
        <f t="shared" si="0"/>
        <v>47.155716679789776</v>
      </c>
      <c r="U8" s="6">
        <f t="shared" si="1"/>
        <v>19.512363747971136</v>
      </c>
      <c r="V8" s="3">
        <f t="shared" si="2"/>
        <v>27.64335293181864</v>
      </c>
    </row>
    <row r="9" spans="1:22" x14ac:dyDescent="0.25">
      <c r="A9" s="2" t="s">
        <v>24</v>
      </c>
      <c r="B9">
        <v>5</v>
      </c>
      <c r="C9">
        <v>100</v>
      </c>
      <c r="D9">
        <v>5</v>
      </c>
      <c r="E9">
        <v>200</v>
      </c>
      <c r="F9">
        <v>2739.4842456620681</v>
      </c>
      <c r="G9" s="5">
        <v>2631.9333965698311</v>
      </c>
      <c r="H9">
        <v>85.65625</v>
      </c>
      <c r="I9">
        <v>4</v>
      </c>
      <c r="J9">
        <v>750</v>
      </c>
      <c r="K9">
        <v>7200</v>
      </c>
      <c r="L9">
        <v>720</v>
      </c>
      <c r="M9">
        <v>24</v>
      </c>
      <c r="N9">
        <v>5</v>
      </c>
      <c r="O9">
        <v>5</v>
      </c>
      <c r="P9">
        <v>0</v>
      </c>
      <c r="Q9">
        <v>0</v>
      </c>
      <c r="S9">
        <v>2034.15</v>
      </c>
      <c r="T9" s="3">
        <f t="shared" si="0"/>
        <v>34.674642758010378</v>
      </c>
      <c r="U9" s="6">
        <f t="shared" si="1"/>
        <v>29.38738030970336</v>
      </c>
      <c r="V9" s="3">
        <f t="shared" si="2"/>
        <v>5.2872624483070183</v>
      </c>
    </row>
    <row r="10" spans="1:22" x14ac:dyDescent="0.25">
      <c r="A10" s="2" t="s">
        <v>25</v>
      </c>
      <c r="B10">
        <v>1</v>
      </c>
      <c r="C10">
        <v>100</v>
      </c>
      <c r="D10">
        <v>8</v>
      </c>
      <c r="E10">
        <v>200</v>
      </c>
      <c r="F10">
        <v>1212.110570350635</v>
      </c>
      <c r="G10" s="5">
        <v>1008.107128636212</v>
      </c>
      <c r="H10">
        <v>9.125</v>
      </c>
      <c r="I10">
        <v>1</v>
      </c>
      <c r="J10">
        <v>750</v>
      </c>
      <c r="K10">
        <v>7200</v>
      </c>
      <c r="L10">
        <v>720</v>
      </c>
      <c r="M10">
        <v>64</v>
      </c>
      <c r="N10">
        <v>1</v>
      </c>
      <c r="O10">
        <v>0</v>
      </c>
      <c r="P10">
        <v>0</v>
      </c>
      <c r="Q10">
        <v>0</v>
      </c>
      <c r="S10">
        <v>826.14</v>
      </c>
      <c r="T10" s="3">
        <f t="shared" si="0"/>
        <v>46.719753353019485</v>
      </c>
      <c r="U10" s="6">
        <f t="shared" si="1"/>
        <v>22.026185469316587</v>
      </c>
      <c r="V10" s="3">
        <f t="shared" si="2"/>
        <v>24.693567883702897</v>
      </c>
    </row>
    <row r="11" spans="1:22" x14ac:dyDescent="0.25">
      <c r="A11" s="2" t="s">
        <v>26</v>
      </c>
      <c r="B11">
        <v>4</v>
      </c>
      <c r="C11">
        <v>100</v>
      </c>
      <c r="D11">
        <v>5</v>
      </c>
      <c r="E11">
        <v>200</v>
      </c>
      <c r="F11">
        <v>2325.542031937076</v>
      </c>
      <c r="G11" s="5">
        <v>1983.0842612880399</v>
      </c>
      <c r="H11">
        <v>250.59375</v>
      </c>
      <c r="I11">
        <v>4</v>
      </c>
      <c r="J11">
        <v>750</v>
      </c>
      <c r="K11">
        <v>7200</v>
      </c>
      <c r="L11">
        <v>720</v>
      </c>
      <c r="M11">
        <v>103</v>
      </c>
      <c r="N11">
        <v>5</v>
      </c>
      <c r="O11">
        <v>25</v>
      </c>
      <c r="P11">
        <v>0</v>
      </c>
      <c r="Q11">
        <v>0</v>
      </c>
      <c r="S11">
        <v>1595.84</v>
      </c>
      <c r="T11" s="3">
        <f t="shared" si="0"/>
        <v>45.725262679032738</v>
      </c>
      <c r="U11" s="6">
        <f t="shared" si="1"/>
        <v>24.265857560158906</v>
      </c>
      <c r="V11" s="3">
        <f t="shared" si="2"/>
        <v>21.459405118873832</v>
      </c>
    </row>
    <row r="12" spans="1:22" x14ac:dyDescent="0.25">
      <c r="A12" s="2" t="s">
        <v>27</v>
      </c>
      <c r="B12">
        <v>4</v>
      </c>
      <c r="C12">
        <v>138</v>
      </c>
      <c r="D12">
        <v>5</v>
      </c>
      <c r="E12">
        <v>235</v>
      </c>
      <c r="F12">
        <v>1149.8347182885921</v>
      </c>
      <c r="G12" s="5">
        <v>919.70068488981644</v>
      </c>
      <c r="H12">
        <v>938.4375</v>
      </c>
      <c r="I12">
        <v>4</v>
      </c>
      <c r="J12">
        <v>750</v>
      </c>
      <c r="K12">
        <v>7200</v>
      </c>
      <c r="L12">
        <v>720</v>
      </c>
      <c r="M12">
        <v>178</v>
      </c>
      <c r="N12">
        <v>20</v>
      </c>
      <c r="O12">
        <v>50</v>
      </c>
      <c r="P12">
        <v>1</v>
      </c>
      <c r="Q12">
        <v>0</v>
      </c>
      <c r="S12">
        <v>779.29</v>
      </c>
      <c r="T12" s="3">
        <f t="shared" si="0"/>
        <v>47.549014909544866</v>
      </c>
      <c r="U12" s="6">
        <f t="shared" si="1"/>
        <v>18.017770648900481</v>
      </c>
      <c r="V12" s="3">
        <f t="shared" si="2"/>
        <v>29.531244260644385</v>
      </c>
    </row>
    <row r="13" spans="1:22" x14ac:dyDescent="0.25">
      <c r="A13" s="2" t="s">
        <v>28</v>
      </c>
      <c r="B13">
        <v>3</v>
      </c>
      <c r="C13">
        <v>163</v>
      </c>
      <c r="D13">
        <v>5</v>
      </c>
      <c r="E13">
        <v>140</v>
      </c>
      <c r="F13">
        <v>1746.675638572028</v>
      </c>
      <c r="G13" s="5">
        <v>1523.5517961550979</v>
      </c>
      <c r="H13">
        <v>795.78125</v>
      </c>
      <c r="I13">
        <v>4</v>
      </c>
      <c r="J13">
        <v>750</v>
      </c>
      <c r="K13">
        <v>7200</v>
      </c>
      <c r="L13">
        <v>720</v>
      </c>
      <c r="M13">
        <v>188</v>
      </c>
      <c r="N13">
        <v>20</v>
      </c>
      <c r="O13">
        <v>72</v>
      </c>
      <c r="P13">
        <v>2</v>
      </c>
      <c r="Q13">
        <v>0</v>
      </c>
      <c r="S13">
        <v>1195.8800000000001</v>
      </c>
      <c r="T13" s="3">
        <f t="shared" si="0"/>
        <v>46.057768218552695</v>
      </c>
      <c r="U13" s="6">
        <f t="shared" si="1"/>
        <v>27.400056540380106</v>
      </c>
      <c r="V13" s="3">
        <f t="shared" si="2"/>
        <v>18.657711678172589</v>
      </c>
    </row>
    <row r="14" spans="1:22" ht="15.75" thickBot="1" x14ac:dyDescent="0.3">
      <c r="A14" s="2" t="s">
        <v>29</v>
      </c>
      <c r="B14">
        <v>9</v>
      </c>
      <c r="C14">
        <v>417</v>
      </c>
      <c r="D14">
        <v>7</v>
      </c>
      <c r="E14">
        <v>2000</v>
      </c>
      <c r="F14">
        <v>6334.1302932916942</v>
      </c>
      <c r="G14" s="5">
        <v>5428.5190400650699</v>
      </c>
      <c r="H14">
        <v>7231.375</v>
      </c>
      <c r="I14">
        <v>4</v>
      </c>
      <c r="J14">
        <v>750</v>
      </c>
      <c r="K14">
        <v>7200</v>
      </c>
      <c r="L14">
        <v>720</v>
      </c>
      <c r="M14">
        <v>119</v>
      </c>
      <c r="N14">
        <v>52</v>
      </c>
      <c r="O14">
        <v>3</v>
      </c>
      <c r="P14">
        <v>0</v>
      </c>
      <c r="Q14">
        <v>0</v>
      </c>
      <c r="S14">
        <v>3511.62</v>
      </c>
      <c r="T14" s="3">
        <f t="shared" si="0"/>
        <v>80.376301914549259</v>
      </c>
      <c r="U14" s="6">
        <f t="shared" si="1"/>
        <v>54.587314118984125</v>
      </c>
      <c r="V14" s="3">
        <f t="shared" si="2"/>
        <v>25.788987795565134</v>
      </c>
    </row>
    <row r="15" spans="1:22" ht="15.75" thickBot="1" x14ac:dyDescent="0.3">
      <c r="A15" s="2" t="s">
        <v>30</v>
      </c>
      <c r="B15">
        <v>2</v>
      </c>
      <c r="C15">
        <v>20</v>
      </c>
      <c r="D15">
        <v>4</v>
      </c>
      <c r="E15">
        <v>20</v>
      </c>
      <c r="F15">
        <v>954.80711889752502</v>
      </c>
      <c r="G15" s="5">
        <v>954.80711889752502</v>
      </c>
      <c r="H15">
        <v>4.765625</v>
      </c>
      <c r="I15">
        <v>4</v>
      </c>
      <c r="J15">
        <v>750</v>
      </c>
      <c r="K15">
        <v>7200</v>
      </c>
      <c r="L15">
        <v>720</v>
      </c>
      <c r="M15">
        <v>0</v>
      </c>
      <c r="N15">
        <v>0</v>
      </c>
      <c r="O15">
        <v>0</v>
      </c>
      <c r="P15">
        <v>0</v>
      </c>
      <c r="Q15">
        <v>0</v>
      </c>
      <c r="S15">
        <v>954.81</v>
      </c>
      <c r="T15" s="3">
        <f t="shared" si="0"/>
        <v>-3.0174615629618984E-4</v>
      </c>
      <c r="U15" s="7">
        <f t="shared" si="1"/>
        <v>-3.0174615629618984E-4</v>
      </c>
      <c r="V15" s="8">
        <f t="shared" si="2"/>
        <v>0</v>
      </c>
    </row>
    <row r="16" spans="1:22" ht="15.75" thickBot="1" x14ac:dyDescent="0.3">
      <c r="A16" s="2" t="s">
        <v>31</v>
      </c>
      <c r="B16">
        <v>2</v>
      </c>
      <c r="C16">
        <v>38</v>
      </c>
      <c r="D16">
        <v>4</v>
      </c>
      <c r="E16">
        <v>30</v>
      </c>
      <c r="F16">
        <v>1899.885733385785</v>
      </c>
      <c r="G16" s="5">
        <v>1899.885733385785</v>
      </c>
      <c r="H16">
        <v>4.234375</v>
      </c>
      <c r="I16">
        <v>4</v>
      </c>
      <c r="J16">
        <v>750</v>
      </c>
      <c r="K16">
        <v>7200</v>
      </c>
      <c r="L16">
        <v>720</v>
      </c>
      <c r="M16">
        <v>0</v>
      </c>
      <c r="N16">
        <v>0</v>
      </c>
      <c r="O16">
        <v>0</v>
      </c>
      <c r="P16">
        <v>0</v>
      </c>
      <c r="Q16">
        <v>0</v>
      </c>
      <c r="S16">
        <v>1862.63</v>
      </c>
      <c r="T16" s="3">
        <f t="shared" si="0"/>
        <v>2.0001682237365941</v>
      </c>
      <c r="U16" s="7">
        <f t="shared" si="1"/>
        <v>2.0001682237365941</v>
      </c>
      <c r="V16" s="8">
        <f t="shared" si="2"/>
        <v>0</v>
      </c>
    </row>
    <row r="17" spans="1:22" ht="15.75" thickBot="1" x14ac:dyDescent="0.3">
      <c r="A17" s="2" t="s">
        <v>32</v>
      </c>
      <c r="B17">
        <v>2</v>
      </c>
      <c r="C17">
        <v>56</v>
      </c>
      <c r="D17">
        <v>4</v>
      </c>
      <c r="E17">
        <v>40</v>
      </c>
      <c r="F17">
        <v>3201.1465251106042</v>
      </c>
      <c r="G17" s="5">
        <v>3179.0510337214159</v>
      </c>
      <c r="H17">
        <v>7.9375</v>
      </c>
      <c r="I17">
        <v>4</v>
      </c>
      <c r="J17">
        <v>750</v>
      </c>
      <c r="K17">
        <v>7200</v>
      </c>
      <c r="L17">
        <v>720</v>
      </c>
      <c r="M17">
        <v>2</v>
      </c>
      <c r="N17">
        <v>0</v>
      </c>
      <c r="O17">
        <v>0</v>
      </c>
      <c r="P17">
        <v>0</v>
      </c>
      <c r="Q17">
        <v>0</v>
      </c>
      <c r="S17">
        <v>2875.24</v>
      </c>
      <c r="T17" s="3">
        <f t="shared" si="0"/>
        <v>11.334932913795171</v>
      </c>
      <c r="U17" s="6">
        <f t="shared" si="1"/>
        <v>10.566458233796695</v>
      </c>
      <c r="V17" s="3">
        <f t="shared" si="2"/>
        <v>0.76847467999847652</v>
      </c>
    </row>
    <row r="18" spans="1:22" ht="15.75" thickBot="1" x14ac:dyDescent="0.3">
      <c r="A18" s="2" t="s">
        <v>33</v>
      </c>
      <c r="B18">
        <v>4</v>
      </c>
      <c r="C18">
        <v>40</v>
      </c>
      <c r="D18">
        <v>4</v>
      </c>
      <c r="E18">
        <v>20</v>
      </c>
      <c r="F18">
        <v>1703.872161915519</v>
      </c>
      <c r="G18" s="5">
        <v>1703.872161915519</v>
      </c>
      <c r="H18">
        <v>5.4375</v>
      </c>
      <c r="I18">
        <v>4</v>
      </c>
      <c r="J18">
        <v>750</v>
      </c>
      <c r="K18">
        <v>7200</v>
      </c>
      <c r="L18">
        <v>720</v>
      </c>
      <c r="M18">
        <v>0</v>
      </c>
      <c r="N18">
        <v>0</v>
      </c>
      <c r="O18">
        <v>0</v>
      </c>
      <c r="P18">
        <v>0</v>
      </c>
      <c r="Q18">
        <v>0</v>
      </c>
      <c r="S18">
        <v>1597.75</v>
      </c>
      <c r="T18" s="3">
        <f t="shared" si="0"/>
        <v>6.6419753976228577</v>
      </c>
      <c r="U18" s="6">
        <f t="shared" si="1"/>
        <v>6.6419753976228577</v>
      </c>
      <c r="V18" s="8">
        <f t="shared" si="2"/>
        <v>0</v>
      </c>
    </row>
    <row r="19" spans="1:22" ht="15.75" thickBot="1" x14ac:dyDescent="0.3">
      <c r="A19" s="2" t="s">
        <v>34</v>
      </c>
      <c r="B19">
        <v>4</v>
      </c>
      <c r="C19">
        <v>76</v>
      </c>
      <c r="D19">
        <v>4</v>
      </c>
      <c r="E19">
        <v>30</v>
      </c>
      <c r="F19">
        <v>3217.167440359513</v>
      </c>
      <c r="G19" s="5">
        <v>3217.167440359513</v>
      </c>
      <c r="H19">
        <v>4.9375</v>
      </c>
      <c r="I19">
        <v>4</v>
      </c>
      <c r="J19">
        <v>750</v>
      </c>
      <c r="K19">
        <v>7200</v>
      </c>
      <c r="L19">
        <v>720</v>
      </c>
      <c r="M19">
        <v>0</v>
      </c>
      <c r="N19">
        <v>0</v>
      </c>
      <c r="O19">
        <v>0</v>
      </c>
      <c r="P19">
        <v>0</v>
      </c>
      <c r="Q19">
        <v>0</v>
      </c>
      <c r="S19">
        <v>3147.24</v>
      </c>
      <c r="T19" s="3">
        <f t="shared" si="0"/>
        <v>2.2218655189789445</v>
      </c>
      <c r="U19" s="7">
        <f t="shared" si="1"/>
        <v>2.2218655189789445</v>
      </c>
      <c r="V19" s="8">
        <f t="shared" si="2"/>
        <v>0</v>
      </c>
    </row>
    <row r="20" spans="1:22" ht="15.75" thickBot="1" x14ac:dyDescent="0.3">
      <c r="A20" s="2" t="s">
        <v>35</v>
      </c>
      <c r="B20">
        <v>4</v>
      </c>
      <c r="C20">
        <v>112</v>
      </c>
      <c r="D20">
        <v>4</v>
      </c>
      <c r="E20">
        <v>40</v>
      </c>
      <c r="F20">
        <v>4855.7678865271791</v>
      </c>
      <c r="G20" s="5">
        <v>4855.7678865271791</v>
      </c>
      <c r="H20">
        <v>6.375</v>
      </c>
      <c r="I20">
        <v>4</v>
      </c>
      <c r="J20">
        <v>750</v>
      </c>
      <c r="K20">
        <v>7200</v>
      </c>
      <c r="L20">
        <v>720</v>
      </c>
      <c r="M20">
        <v>0</v>
      </c>
      <c r="N20">
        <v>0</v>
      </c>
      <c r="O20">
        <v>0</v>
      </c>
      <c r="P20">
        <v>0</v>
      </c>
      <c r="Q20">
        <v>0</v>
      </c>
      <c r="S20">
        <v>4834.34</v>
      </c>
      <c r="T20" s="3">
        <f t="shared" si="0"/>
        <v>0.44324326644751011</v>
      </c>
      <c r="U20" s="7">
        <f t="shared" si="1"/>
        <v>0.44324326644751011</v>
      </c>
      <c r="V20" s="8">
        <f t="shared" si="2"/>
        <v>0</v>
      </c>
    </row>
    <row r="21" spans="1:22" ht="15.75" thickBot="1" x14ac:dyDescent="0.3">
      <c r="A21" s="2" t="s">
        <v>36</v>
      </c>
      <c r="B21">
        <v>4</v>
      </c>
      <c r="C21">
        <v>184</v>
      </c>
      <c r="D21">
        <v>4</v>
      </c>
      <c r="E21">
        <v>60</v>
      </c>
      <c r="F21">
        <v>9441.6174868667931</v>
      </c>
      <c r="G21" s="5">
        <v>9441.6174868667931</v>
      </c>
      <c r="H21">
        <v>11.765625</v>
      </c>
      <c r="I21">
        <v>4</v>
      </c>
      <c r="J21">
        <v>750</v>
      </c>
      <c r="K21">
        <v>7200</v>
      </c>
      <c r="L21">
        <v>720</v>
      </c>
      <c r="M21">
        <v>0</v>
      </c>
      <c r="N21">
        <v>0</v>
      </c>
      <c r="O21">
        <v>0</v>
      </c>
      <c r="P21">
        <v>0</v>
      </c>
      <c r="Q21">
        <v>0</v>
      </c>
      <c r="S21">
        <v>8367.4</v>
      </c>
      <c r="T21" s="3">
        <f t="shared" si="0"/>
        <v>12.838127576867279</v>
      </c>
      <c r="U21" s="6">
        <f t="shared" si="1"/>
        <v>12.838127576867279</v>
      </c>
      <c r="V21" s="8">
        <f t="shared" si="2"/>
        <v>0</v>
      </c>
    </row>
    <row r="22" spans="1:22" ht="15.75" thickBot="1" x14ac:dyDescent="0.3">
      <c r="A22" s="2" t="s">
        <v>37</v>
      </c>
      <c r="B22">
        <v>6</v>
      </c>
      <c r="C22">
        <v>60</v>
      </c>
      <c r="D22">
        <v>4</v>
      </c>
      <c r="E22">
        <v>20</v>
      </c>
      <c r="F22">
        <v>2476.4553897065998</v>
      </c>
      <c r="G22" s="5">
        <v>2476.4553897065998</v>
      </c>
      <c r="H22">
        <v>7.625</v>
      </c>
      <c r="I22">
        <v>4</v>
      </c>
      <c r="J22">
        <v>750</v>
      </c>
      <c r="K22">
        <v>7200</v>
      </c>
      <c r="L22">
        <v>720</v>
      </c>
      <c r="M22">
        <v>0</v>
      </c>
      <c r="N22">
        <v>0</v>
      </c>
      <c r="O22">
        <v>0</v>
      </c>
      <c r="P22">
        <v>0</v>
      </c>
      <c r="Q22">
        <v>0</v>
      </c>
      <c r="S22">
        <v>2184.04</v>
      </c>
      <c r="T22" s="3">
        <f t="shared" si="0"/>
        <v>13.38873783019541</v>
      </c>
      <c r="U22" s="6">
        <f t="shared" si="1"/>
        <v>13.38873783019541</v>
      </c>
      <c r="V22" s="8">
        <f t="shared" si="2"/>
        <v>0</v>
      </c>
    </row>
    <row r="23" spans="1:22" ht="15.75" thickBot="1" x14ac:dyDescent="0.3">
      <c r="A23" s="2" t="s">
        <v>38</v>
      </c>
      <c r="B23">
        <v>6</v>
      </c>
      <c r="C23">
        <v>114</v>
      </c>
      <c r="D23">
        <v>4</v>
      </c>
      <c r="E23">
        <v>30</v>
      </c>
      <c r="F23">
        <v>4608.9469410204683</v>
      </c>
      <c r="G23" s="5">
        <v>4608.9469410204683</v>
      </c>
      <c r="H23">
        <v>8.125</v>
      </c>
      <c r="I23">
        <v>4</v>
      </c>
      <c r="J23">
        <v>750</v>
      </c>
      <c r="K23">
        <v>7200</v>
      </c>
      <c r="L23">
        <v>720</v>
      </c>
      <c r="M23">
        <v>0</v>
      </c>
      <c r="N23">
        <v>0</v>
      </c>
      <c r="O23">
        <v>0</v>
      </c>
      <c r="P23">
        <v>0</v>
      </c>
      <c r="Q23">
        <v>0</v>
      </c>
      <c r="S23">
        <v>4271.1099999999997</v>
      </c>
      <c r="T23" s="3">
        <f t="shared" si="0"/>
        <v>7.9098159733762117</v>
      </c>
      <c r="U23" s="6">
        <f t="shared" si="1"/>
        <v>7.9098159733762117</v>
      </c>
      <c r="V23" s="8">
        <f t="shared" si="2"/>
        <v>0</v>
      </c>
    </row>
    <row r="24" spans="1:22" ht="15.75" thickBot="1" x14ac:dyDescent="0.3">
      <c r="A24" s="2" t="s">
        <v>39</v>
      </c>
      <c r="B24">
        <v>6</v>
      </c>
      <c r="C24">
        <v>168</v>
      </c>
      <c r="D24">
        <v>4</v>
      </c>
      <c r="E24">
        <v>40</v>
      </c>
      <c r="F24">
        <v>6836.8705930980686</v>
      </c>
      <c r="G24" s="5">
        <v>6836.8705930980686</v>
      </c>
      <c r="H24">
        <v>9.203125</v>
      </c>
      <c r="I24">
        <v>4</v>
      </c>
      <c r="J24">
        <v>750</v>
      </c>
      <c r="K24">
        <v>7200</v>
      </c>
      <c r="L24">
        <v>720</v>
      </c>
      <c r="M24">
        <v>0</v>
      </c>
      <c r="N24">
        <v>0</v>
      </c>
      <c r="O24">
        <v>0</v>
      </c>
      <c r="P24">
        <v>0</v>
      </c>
      <c r="Q24">
        <v>0</v>
      </c>
      <c r="S24">
        <v>6602.59</v>
      </c>
      <c r="T24" s="3">
        <f t="shared" si="0"/>
        <v>3.5483135117896012</v>
      </c>
      <c r="U24" s="7">
        <f t="shared" si="1"/>
        <v>3.5483135117896012</v>
      </c>
      <c r="V24" s="8">
        <f t="shared" si="2"/>
        <v>0</v>
      </c>
    </row>
    <row r="25" spans="1:22" x14ac:dyDescent="0.25">
      <c r="A25" s="2" t="s">
        <v>40</v>
      </c>
      <c r="B25">
        <v>3</v>
      </c>
      <c r="C25">
        <v>51</v>
      </c>
      <c r="D25">
        <v>6</v>
      </c>
      <c r="E25">
        <v>20</v>
      </c>
      <c r="F25">
        <v>5108.7119591551709</v>
      </c>
      <c r="G25" s="5">
        <v>4359.0199942098761</v>
      </c>
      <c r="H25">
        <v>88.1875</v>
      </c>
      <c r="I25">
        <v>4</v>
      </c>
      <c r="J25">
        <v>750</v>
      </c>
      <c r="K25">
        <v>7200</v>
      </c>
      <c r="L25">
        <v>720</v>
      </c>
      <c r="M25">
        <v>39</v>
      </c>
      <c r="N25">
        <v>6</v>
      </c>
      <c r="O25">
        <v>9</v>
      </c>
      <c r="P25">
        <v>2</v>
      </c>
      <c r="Q25">
        <v>0</v>
      </c>
      <c r="S25">
        <v>3687.46</v>
      </c>
      <c r="T25" s="3">
        <f t="shared" si="0"/>
        <v>38.542844102855923</v>
      </c>
      <c r="U25" s="6">
        <f t="shared" si="1"/>
        <v>18.211994006982479</v>
      </c>
      <c r="V25" s="3">
        <f t="shared" si="2"/>
        <v>20.330850095873444</v>
      </c>
    </row>
    <row r="26" spans="1:22" x14ac:dyDescent="0.25">
      <c r="A26" s="2" t="s">
        <v>41</v>
      </c>
      <c r="B26">
        <v>3</v>
      </c>
      <c r="C26">
        <v>51</v>
      </c>
      <c r="D26">
        <v>6</v>
      </c>
      <c r="E26">
        <v>20</v>
      </c>
      <c r="F26">
        <v>5108.7119591551709</v>
      </c>
      <c r="G26" s="5">
        <v>4357.3246103154706</v>
      </c>
      <c r="H26">
        <v>101.25</v>
      </c>
      <c r="I26">
        <v>4</v>
      </c>
      <c r="J26">
        <v>750</v>
      </c>
      <c r="K26">
        <v>7200</v>
      </c>
      <c r="L26">
        <v>720</v>
      </c>
      <c r="M26">
        <v>44</v>
      </c>
      <c r="N26">
        <v>7</v>
      </c>
      <c r="O26">
        <v>11</v>
      </c>
      <c r="P26">
        <v>1</v>
      </c>
      <c r="Q26">
        <v>0</v>
      </c>
      <c r="S26">
        <v>3777.15</v>
      </c>
      <c r="T26" s="3">
        <f t="shared" si="0"/>
        <v>35.253086564080604</v>
      </c>
      <c r="U26" s="6">
        <f t="shared" si="1"/>
        <v>15.360115704048567</v>
      </c>
      <c r="V26" s="3">
        <f t="shared" si="2"/>
        <v>19.892970860032037</v>
      </c>
    </row>
    <row r="27" spans="1:22" x14ac:dyDescent="0.25">
      <c r="A27" s="2" t="s">
        <v>42</v>
      </c>
      <c r="B27">
        <v>3</v>
      </c>
      <c r="C27">
        <v>51</v>
      </c>
      <c r="D27">
        <v>6</v>
      </c>
      <c r="E27">
        <v>20</v>
      </c>
      <c r="F27">
        <v>5095.5001427590814</v>
      </c>
      <c r="G27" s="5">
        <v>4460.9124962266033</v>
      </c>
      <c r="H27">
        <v>91</v>
      </c>
      <c r="I27">
        <v>4</v>
      </c>
      <c r="J27">
        <v>750</v>
      </c>
      <c r="K27">
        <v>7200</v>
      </c>
      <c r="L27">
        <v>720</v>
      </c>
      <c r="M27">
        <v>26</v>
      </c>
      <c r="N27">
        <v>7</v>
      </c>
      <c r="O27">
        <v>8</v>
      </c>
      <c r="P27">
        <v>1</v>
      </c>
      <c r="Q27">
        <v>0</v>
      </c>
      <c r="S27">
        <v>3795.33</v>
      </c>
      <c r="T27" s="3">
        <f t="shared" si="0"/>
        <v>34.257103934548013</v>
      </c>
      <c r="U27" s="6">
        <f t="shared" si="1"/>
        <v>17.53688075151841</v>
      </c>
      <c r="V27" s="3">
        <f t="shared" si="2"/>
        <v>16.720223183029603</v>
      </c>
    </row>
    <row r="28" spans="1:22" x14ac:dyDescent="0.25">
      <c r="A28" s="2" t="s">
        <v>43</v>
      </c>
      <c r="B28">
        <v>6</v>
      </c>
      <c r="C28">
        <v>102</v>
      </c>
      <c r="D28">
        <v>6</v>
      </c>
      <c r="E28">
        <v>20</v>
      </c>
      <c r="F28">
        <v>33794.612677890836</v>
      </c>
      <c r="G28" s="5">
        <v>29173.194027599049</v>
      </c>
      <c r="H28">
        <v>623.21875</v>
      </c>
      <c r="I28">
        <v>4</v>
      </c>
      <c r="J28">
        <v>750</v>
      </c>
      <c r="K28">
        <v>7200</v>
      </c>
      <c r="L28">
        <v>720</v>
      </c>
      <c r="M28">
        <v>85</v>
      </c>
      <c r="N28">
        <v>17</v>
      </c>
      <c r="O28">
        <v>29</v>
      </c>
      <c r="P28">
        <v>2</v>
      </c>
      <c r="Q28">
        <v>0</v>
      </c>
      <c r="S28">
        <v>21956.46</v>
      </c>
      <c r="T28" s="3">
        <f t="shared" si="0"/>
        <v>53.916490535773249</v>
      </c>
      <c r="U28" s="6">
        <f t="shared" si="1"/>
        <v>32.868386013041487</v>
      </c>
      <c r="V28" s="3">
        <f t="shared" si="2"/>
        <v>21.048104522731762</v>
      </c>
    </row>
    <row r="29" spans="1:22" x14ac:dyDescent="0.25">
      <c r="A29" s="2" t="s">
        <v>44</v>
      </c>
      <c r="B29">
        <v>6</v>
      </c>
      <c r="C29">
        <v>102</v>
      </c>
      <c r="D29">
        <v>6</v>
      </c>
      <c r="E29">
        <v>20</v>
      </c>
      <c r="F29">
        <v>33794.612677890836</v>
      </c>
      <c r="G29" s="5">
        <v>28222.941323107108</v>
      </c>
      <c r="H29">
        <v>598.890625</v>
      </c>
      <c r="I29">
        <v>4</v>
      </c>
      <c r="J29">
        <v>750</v>
      </c>
      <c r="K29">
        <v>7200</v>
      </c>
      <c r="L29">
        <v>720</v>
      </c>
      <c r="M29">
        <v>113</v>
      </c>
      <c r="N29">
        <v>20</v>
      </c>
      <c r="O29">
        <v>31</v>
      </c>
      <c r="P29">
        <v>1</v>
      </c>
      <c r="Q29">
        <v>0</v>
      </c>
      <c r="S29">
        <v>22934.71</v>
      </c>
      <c r="T29" s="3">
        <f t="shared" si="0"/>
        <v>47.351384333574913</v>
      </c>
      <c r="U29" s="6">
        <f t="shared" si="1"/>
        <v>23.057764075094511</v>
      </c>
      <c r="V29" s="3">
        <f t="shared" si="2"/>
        <v>24.293620258480402</v>
      </c>
    </row>
    <row r="30" spans="1:22" x14ac:dyDescent="0.25">
      <c r="A30" s="2" t="s">
        <v>45</v>
      </c>
      <c r="B30">
        <v>6</v>
      </c>
      <c r="C30">
        <v>102</v>
      </c>
      <c r="D30">
        <v>6</v>
      </c>
      <c r="E30">
        <v>20</v>
      </c>
      <c r="F30">
        <v>34142.254083445099</v>
      </c>
      <c r="G30" s="5">
        <v>29568.401911469911</v>
      </c>
      <c r="H30">
        <v>697.90625</v>
      </c>
      <c r="I30">
        <v>4</v>
      </c>
      <c r="J30">
        <v>750</v>
      </c>
      <c r="K30">
        <v>7200</v>
      </c>
      <c r="L30">
        <v>720</v>
      </c>
      <c r="M30">
        <v>66</v>
      </c>
      <c r="N30">
        <v>55</v>
      </c>
      <c r="O30">
        <v>25</v>
      </c>
      <c r="P30">
        <v>0</v>
      </c>
      <c r="Q30">
        <v>0</v>
      </c>
      <c r="S30">
        <v>22909.360000000001</v>
      </c>
      <c r="T30" s="3">
        <f t="shared" si="0"/>
        <v>49.031898243534954</v>
      </c>
      <c r="U30" s="6">
        <f t="shared" si="1"/>
        <v>29.066905018166864</v>
      </c>
      <c r="V30" s="3">
        <f t="shared" si="2"/>
        <v>19.96499322536809</v>
      </c>
    </row>
    <row r="31" spans="1:22" x14ac:dyDescent="0.25">
      <c r="A31" s="2" t="s">
        <v>46</v>
      </c>
      <c r="B31">
        <v>9</v>
      </c>
      <c r="C31">
        <v>153</v>
      </c>
      <c r="D31">
        <v>6</v>
      </c>
      <c r="E31">
        <v>20</v>
      </c>
      <c r="F31">
        <v>125606.574243333</v>
      </c>
      <c r="G31" s="5">
        <v>105638.9460886848</v>
      </c>
      <c r="H31">
        <v>4013.90625</v>
      </c>
      <c r="I31">
        <v>4</v>
      </c>
      <c r="J31">
        <v>750</v>
      </c>
      <c r="K31">
        <v>7200</v>
      </c>
      <c r="L31">
        <v>720</v>
      </c>
      <c r="M31">
        <v>141</v>
      </c>
      <c r="N31">
        <v>19</v>
      </c>
      <c r="O31">
        <v>58</v>
      </c>
      <c r="P31">
        <v>9</v>
      </c>
      <c r="Q31">
        <v>0</v>
      </c>
      <c r="S31">
        <v>75016.58</v>
      </c>
      <c r="T31" s="3">
        <f t="shared" si="0"/>
        <v>67.438417271665799</v>
      </c>
      <c r="U31" s="6">
        <f t="shared" si="1"/>
        <v>40.820797333982426</v>
      </c>
      <c r="V31" s="3">
        <f t="shared" si="2"/>
        <v>26.617619937683372</v>
      </c>
    </row>
    <row r="32" spans="1:22" x14ac:dyDescent="0.25">
      <c r="A32" s="2" t="s">
        <v>47</v>
      </c>
      <c r="B32">
        <v>9</v>
      </c>
      <c r="C32">
        <v>153</v>
      </c>
      <c r="D32">
        <v>6</v>
      </c>
      <c r="E32">
        <v>20</v>
      </c>
      <c r="F32">
        <v>127635.67882667739</v>
      </c>
      <c r="G32" s="5">
        <v>102544.036066917</v>
      </c>
      <c r="H32">
        <v>2375.03125</v>
      </c>
      <c r="I32">
        <v>4</v>
      </c>
      <c r="J32">
        <v>750</v>
      </c>
      <c r="K32">
        <v>7200</v>
      </c>
      <c r="L32">
        <v>720</v>
      </c>
      <c r="M32">
        <v>124</v>
      </c>
      <c r="N32">
        <v>32</v>
      </c>
      <c r="O32">
        <v>56</v>
      </c>
      <c r="P32">
        <v>0</v>
      </c>
      <c r="Q32">
        <v>0</v>
      </c>
      <c r="S32">
        <v>78179.89</v>
      </c>
      <c r="T32" s="3">
        <f t="shared" si="0"/>
        <v>63.258964455792125</v>
      </c>
      <c r="U32" s="6">
        <f t="shared" si="1"/>
        <v>31.164211240150109</v>
      </c>
      <c r="V32" s="3">
        <f t="shared" si="2"/>
        <v>32.094753215642015</v>
      </c>
    </row>
    <row r="33" spans="1:22" x14ac:dyDescent="0.25">
      <c r="A33" s="2" t="s">
        <v>48</v>
      </c>
      <c r="B33">
        <v>9</v>
      </c>
      <c r="C33">
        <v>153</v>
      </c>
      <c r="D33">
        <v>6</v>
      </c>
      <c r="E33">
        <v>20</v>
      </c>
      <c r="F33">
        <v>126353.9267526294</v>
      </c>
      <c r="G33" s="5">
        <v>103117.8241508794</v>
      </c>
      <c r="H33">
        <v>5358.4375</v>
      </c>
      <c r="I33">
        <v>4</v>
      </c>
      <c r="J33">
        <v>750</v>
      </c>
      <c r="K33">
        <v>7200</v>
      </c>
      <c r="L33">
        <v>720</v>
      </c>
      <c r="M33">
        <v>158</v>
      </c>
      <c r="N33">
        <v>59</v>
      </c>
      <c r="O33">
        <v>62</v>
      </c>
      <c r="P33">
        <v>3</v>
      </c>
      <c r="Q33">
        <v>0</v>
      </c>
      <c r="S33">
        <v>80479.199999999997</v>
      </c>
      <c r="T33" s="3">
        <f t="shared" si="0"/>
        <v>57.00196666049041</v>
      </c>
      <c r="U33" s="6">
        <f t="shared" si="1"/>
        <v>28.129782789689017</v>
      </c>
      <c r="V33" s="3">
        <f t="shared" si="2"/>
        <v>28.872183870801393</v>
      </c>
    </row>
    <row r="35" spans="1:22" x14ac:dyDescent="0.25">
      <c r="T35" s="3">
        <f>SUM(T2:T33)/32</f>
        <v>33.879336864738725</v>
      </c>
      <c r="U35" s="6">
        <f>SUM(U2:U33)/32</f>
        <v>18.822123938771689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50A9-51BE-4EDF-A726-82397D0CED8C}">
  <dimension ref="A1:V35"/>
  <sheetViews>
    <sheetView workbookViewId="0">
      <selection activeCell="G1" sqref="G1:H33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51</v>
      </c>
      <c r="T1" s="1" t="s">
        <v>49</v>
      </c>
      <c r="U1" s="4" t="s">
        <v>50</v>
      </c>
      <c r="V1" s="1" t="s">
        <v>52</v>
      </c>
    </row>
    <row r="2" spans="1:22" x14ac:dyDescent="0.25">
      <c r="A2" s="2" t="s">
        <v>17</v>
      </c>
      <c r="B2">
        <v>3</v>
      </c>
      <c r="C2">
        <v>51</v>
      </c>
      <c r="D2">
        <v>2</v>
      </c>
      <c r="E2">
        <v>160</v>
      </c>
      <c r="F2">
        <v>699.94207123913566</v>
      </c>
      <c r="G2" s="5">
        <v>626.381749097632</v>
      </c>
      <c r="H2">
        <v>12.671875</v>
      </c>
      <c r="I2">
        <v>4</v>
      </c>
      <c r="J2">
        <v>1000</v>
      </c>
      <c r="K2">
        <v>7200</v>
      </c>
      <c r="L2">
        <v>720</v>
      </c>
      <c r="M2">
        <v>2</v>
      </c>
      <c r="N2">
        <v>1</v>
      </c>
      <c r="O2">
        <v>1</v>
      </c>
      <c r="P2">
        <v>2</v>
      </c>
      <c r="Q2">
        <v>0</v>
      </c>
      <c r="S2">
        <v>524.61</v>
      </c>
      <c r="T2" s="3">
        <f>(F2*100)/$S$2-100</f>
        <v>33.421412332806398</v>
      </c>
      <c r="U2" s="6">
        <f>(G2*100)/$S2-100</f>
        <v>19.399506127910627</v>
      </c>
      <c r="V2" s="3">
        <f>T2-U2</f>
        <v>14.021906204895771</v>
      </c>
    </row>
    <row r="3" spans="1:22" x14ac:dyDescent="0.25">
      <c r="A3" s="2" t="s">
        <v>18</v>
      </c>
      <c r="B3">
        <v>3</v>
      </c>
      <c r="C3">
        <v>50</v>
      </c>
      <c r="D3">
        <v>5</v>
      </c>
      <c r="E3">
        <v>160</v>
      </c>
      <c r="F3">
        <v>1806.0337130867761</v>
      </c>
      <c r="G3" s="5">
        <v>1620.477336481403</v>
      </c>
      <c r="H3">
        <v>66</v>
      </c>
      <c r="I3">
        <v>4</v>
      </c>
      <c r="J3">
        <v>1000</v>
      </c>
      <c r="K3">
        <v>7200</v>
      </c>
      <c r="L3">
        <v>720</v>
      </c>
      <c r="M3">
        <v>20</v>
      </c>
      <c r="N3">
        <v>1</v>
      </c>
      <c r="O3">
        <v>9</v>
      </c>
      <c r="P3">
        <v>1</v>
      </c>
      <c r="Q3">
        <v>0</v>
      </c>
      <c r="S3">
        <v>1322.87</v>
      </c>
      <c r="T3" s="3">
        <f t="shared" ref="T3:T33" si="0">(F3*100)/S3-100</f>
        <v>36.523899785071563</v>
      </c>
      <c r="U3" s="6">
        <f t="shared" ref="U3:U33" si="1">(G3*100)/$S3-100</f>
        <v>22.497096198523153</v>
      </c>
      <c r="V3" s="3">
        <f t="shared" ref="V3:V33" si="2">T3-U3</f>
        <v>14.026803586548411</v>
      </c>
    </row>
    <row r="4" spans="1:22" x14ac:dyDescent="0.25">
      <c r="A4" s="2" t="s">
        <v>19</v>
      </c>
      <c r="B4">
        <v>1</v>
      </c>
      <c r="C4">
        <v>50</v>
      </c>
      <c r="D4">
        <v>5</v>
      </c>
      <c r="E4">
        <v>160</v>
      </c>
      <c r="F4">
        <v>707.71782597313984</v>
      </c>
      <c r="G4" s="5">
        <v>614.8756740218621</v>
      </c>
      <c r="H4">
        <v>7.5625</v>
      </c>
      <c r="I4">
        <v>1</v>
      </c>
      <c r="J4">
        <v>1000</v>
      </c>
      <c r="K4">
        <v>7200</v>
      </c>
      <c r="L4">
        <v>720</v>
      </c>
      <c r="M4">
        <v>10</v>
      </c>
      <c r="N4">
        <v>6</v>
      </c>
      <c r="O4">
        <v>0</v>
      </c>
      <c r="P4">
        <v>0</v>
      </c>
      <c r="Q4">
        <v>0</v>
      </c>
      <c r="S4">
        <v>524.61</v>
      </c>
      <c r="T4" s="3">
        <f t="shared" si="0"/>
        <v>34.903609533394302</v>
      </c>
      <c r="U4" s="6">
        <f t="shared" si="1"/>
        <v>17.20624349933513</v>
      </c>
      <c r="V4" s="3">
        <f t="shared" si="2"/>
        <v>17.697366034059172</v>
      </c>
    </row>
    <row r="5" spans="1:22" x14ac:dyDescent="0.25">
      <c r="A5" s="2" t="s">
        <v>20</v>
      </c>
      <c r="B5">
        <v>5</v>
      </c>
      <c r="C5">
        <v>75</v>
      </c>
      <c r="D5">
        <v>2</v>
      </c>
      <c r="E5">
        <v>140</v>
      </c>
      <c r="F5">
        <v>1191.564504632046</v>
      </c>
      <c r="G5" s="5">
        <v>990.44548714325981</v>
      </c>
      <c r="H5">
        <v>171.03125</v>
      </c>
      <c r="I5">
        <v>4</v>
      </c>
      <c r="J5">
        <v>1000</v>
      </c>
      <c r="K5">
        <v>7200</v>
      </c>
      <c r="L5">
        <v>720</v>
      </c>
      <c r="M5">
        <v>4</v>
      </c>
      <c r="N5">
        <v>10</v>
      </c>
      <c r="O5">
        <v>16</v>
      </c>
      <c r="P5">
        <v>6</v>
      </c>
      <c r="Q5">
        <v>0</v>
      </c>
      <c r="S5">
        <v>835.43</v>
      </c>
      <c r="T5" s="3">
        <f t="shared" si="0"/>
        <v>42.628886277970167</v>
      </c>
      <c r="U5" s="6">
        <f t="shared" si="1"/>
        <v>18.555173640312162</v>
      </c>
      <c r="V5" s="3">
        <f t="shared" si="2"/>
        <v>24.073712637658005</v>
      </c>
    </row>
    <row r="6" spans="1:22" x14ac:dyDescent="0.25">
      <c r="A6" s="2" t="s">
        <v>21</v>
      </c>
      <c r="B6">
        <v>6</v>
      </c>
      <c r="C6">
        <v>75</v>
      </c>
      <c r="D6">
        <v>5</v>
      </c>
      <c r="E6">
        <v>140</v>
      </c>
      <c r="F6">
        <v>2803.0667370561068</v>
      </c>
      <c r="G6" s="5">
        <v>2496.545833684268</v>
      </c>
      <c r="H6">
        <v>258.796875</v>
      </c>
      <c r="I6">
        <v>4</v>
      </c>
      <c r="J6">
        <v>1000</v>
      </c>
      <c r="K6">
        <v>7200</v>
      </c>
      <c r="L6">
        <v>720</v>
      </c>
      <c r="M6">
        <v>25</v>
      </c>
      <c r="N6">
        <v>4</v>
      </c>
      <c r="O6">
        <v>10</v>
      </c>
      <c r="P6">
        <v>4</v>
      </c>
      <c r="Q6">
        <v>0</v>
      </c>
      <c r="S6">
        <v>2027.99</v>
      </c>
      <c r="T6" s="3">
        <f t="shared" si="0"/>
        <v>38.21896247299577</v>
      </c>
      <c r="U6" s="6">
        <f t="shared" si="1"/>
        <v>23.104444976763588</v>
      </c>
      <c r="V6" s="3">
        <f t="shared" si="2"/>
        <v>15.114517496232182</v>
      </c>
    </row>
    <row r="7" spans="1:22" x14ac:dyDescent="0.25">
      <c r="A7" s="2" t="s">
        <v>22</v>
      </c>
      <c r="B7">
        <v>1</v>
      </c>
      <c r="C7">
        <v>75</v>
      </c>
      <c r="D7">
        <v>10</v>
      </c>
      <c r="E7">
        <v>140</v>
      </c>
      <c r="F7">
        <v>1202.7378153136131</v>
      </c>
      <c r="G7" s="5">
        <v>1090.2565516152681</v>
      </c>
      <c r="H7">
        <v>10.59375</v>
      </c>
      <c r="I7">
        <v>1</v>
      </c>
      <c r="J7">
        <v>1000</v>
      </c>
      <c r="K7">
        <v>7200</v>
      </c>
      <c r="L7">
        <v>720</v>
      </c>
      <c r="M7">
        <v>18</v>
      </c>
      <c r="N7">
        <v>3</v>
      </c>
      <c r="O7">
        <v>0</v>
      </c>
      <c r="P7">
        <v>0</v>
      </c>
      <c r="Q7">
        <v>0</v>
      </c>
      <c r="S7">
        <v>836.37</v>
      </c>
      <c r="T7" s="3">
        <f t="shared" si="0"/>
        <v>43.804514187932739</v>
      </c>
      <c r="U7" s="6">
        <f t="shared" si="1"/>
        <v>30.355769768794687</v>
      </c>
      <c r="V7" s="3">
        <f t="shared" si="2"/>
        <v>13.448744419138052</v>
      </c>
    </row>
    <row r="8" spans="1:22" x14ac:dyDescent="0.25">
      <c r="A8" s="2" t="s">
        <v>23</v>
      </c>
      <c r="B8">
        <v>4</v>
      </c>
      <c r="C8">
        <v>100</v>
      </c>
      <c r="D8">
        <v>2</v>
      </c>
      <c r="E8">
        <v>200</v>
      </c>
      <c r="F8">
        <v>1215.7122377784151</v>
      </c>
      <c r="G8" s="5">
        <v>925.75627457763233</v>
      </c>
      <c r="H8">
        <v>228.328125</v>
      </c>
      <c r="I8">
        <v>4</v>
      </c>
      <c r="J8">
        <v>1000</v>
      </c>
      <c r="K8">
        <v>7200</v>
      </c>
      <c r="L8">
        <v>720</v>
      </c>
      <c r="M8">
        <v>22</v>
      </c>
      <c r="N8">
        <v>11</v>
      </c>
      <c r="O8">
        <v>58</v>
      </c>
      <c r="P8">
        <v>6</v>
      </c>
      <c r="Q8">
        <v>0</v>
      </c>
      <c r="S8">
        <v>826.14</v>
      </c>
      <c r="T8" s="3">
        <f t="shared" si="0"/>
        <v>47.155716679789776</v>
      </c>
      <c r="U8" s="6">
        <f t="shared" si="1"/>
        <v>12.05803793275139</v>
      </c>
      <c r="V8" s="3">
        <f t="shared" si="2"/>
        <v>35.097678747038387</v>
      </c>
    </row>
    <row r="9" spans="1:22" x14ac:dyDescent="0.25">
      <c r="A9" s="2" t="s">
        <v>24</v>
      </c>
      <c r="B9">
        <v>5</v>
      </c>
      <c r="C9">
        <v>100</v>
      </c>
      <c r="D9">
        <v>5</v>
      </c>
      <c r="E9">
        <v>200</v>
      </c>
      <c r="F9">
        <v>2739.4842456620681</v>
      </c>
      <c r="G9" s="5">
        <v>2613.292187862166</v>
      </c>
      <c r="H9">
        <v>122.359375</v>
      </c>
      <c r="I9">
        <v>4</v>
      </c>
      <c r="J9">
        <v>1000</v>
      </c>
      <c r="K9">
        <v>7200</v>
      </c>
      <c r="L9">
        <v>720</v>
      </c>
      <c r="M9">
        <v>26</v>
      </c>
      <c r="N9">
        <v>4</v>
      </c>
      <c r="O9">
        <v>10</v>
      </c>
      <c r="P9">
        <v>0</v>
      </c>
      <c r="Q9">
        <v>0</v>
      </c>
      <c r="S9">
        <v>2034.15</v>
      </c>
      <c r="T9" s="3">
        <f t="shared" si="0"/>
        <v>34.674642758010378</v>
      </c>
      <c r="U9" s="6">
        <f t="shared" si="1"/>
        <v>28.470967620980048</v>
      </c>
      <c r="V9" s="3">
        <f t="shared" si="2"/>
        <v>6.2036751370303307</v>
      </c>
    </row>
    <row r="10" spans="1:22" x14ac:dyDescent="0.25">
      <c r="A10" s="2" t="s">
        <v>25</v>
      </c>
      <c r="B10">
        <v>1</v>
      </c>
      <c r="C10">
        <v>100</v>
      </c>
      <c r="D10">
        <v>8</v>
      </c>
      <c r="E10">
        <v>200</v>
      </c>
      <c r="F10">
        <v>1212.110570350635</v>
      </c>
      <c r="G10" s="5">
        <v>935.07928623027635</v>
      </c>
      <c r="H10">
        <v>19.25</v>
      </c>
      <c r="I10">
        <v>1</v>
      </c>
      <c r="J10">
        <v>1000</v>
      </c>
      <c r="K10">
        <v>7200</v>
      </c>
      <c r="L10">
        <v>720</v>
      </c>
      <c r="M10">
        <v>99</v>
      </c>
      <c r="N10">
        <v>5</v>
      </c>
      <c r="O10">
        <v>0</v>
      </c>
      <c r="P10">
        <v>0</v>
      </c>
      <c r="Q10">
        <v>0</v>
      </c>
      <c r="S10">
        <v>826.14</v>
      </c>
      <c r="T10" s="3">
        <f t="shared" si="0"/>
        <v>46.719753353019485</v>
      </c>
      <c r="U10" s="6">
        <f t="shared" si="1"/>
        <v>13.186540565797117</v>
      </c>
      <c r="V10" s="3">
        <f t="shared" si="2"/>
        <v>33.533212787222368</v>
      </c>
    </row>
    <row r="11" spans="1:22" x14ac:dyDescent="0.25">
      <c r="A11" s="2" t="s">
        <v>26</v>
      </c>
      <c r="B11">
        <v>4</v>
      </c>
      <c r="C11">
        <v>100</v>
      </c>
      <c r="D11">
        <v>5</v>
      </c>
      <c r="E11">
        <v>200</v>
      </c>
      <c r="F11">
        <v>2325.542031937076</v>
      </c>
      <c r="G11" s="5">
        <v>1995.7411669494829</v>
      </c>
      <c r="H11">
        <v>243.203125</v>
      </c>
      <c r="I11">
        <v>4</v>
      </c>
      <c r="J11">
        <v>1000</v>
      </c>
      <c r="K11">
        <v>7200</v>
      </c>
      <c r="L11">
        <v>720</v>
      </c>
      <c r="M11">
        <v>87</v>
      </c>
      <c r="N11">
        <v>5</v>
      </c>
      <c r="O11">
        <v>21</v>
      </c>
      <c r="P11">
        <v>0</v>
      </c>
      <c r="Q11">
        <v>0</v>
      </c>
      <c r="S11">
        <v>1595.84</v>
      </c>
      <c r="T11" s="3">
        <f t="shared" si="0"/>
        <v>45.725262679032738</v>
      </c>
      <c r="U11" s="6">
        <f t="shared" si="1"/>
        <v>25.058976272651577</v>
      </c>
      <c r="V11" s="3">
        <f t="shared" si="2"/>
        <v>20.666286406381161</v>
      </c>
    </row>
    <row r="12" spans="1:22" x14ac:dyDescent="0.25">
      <c r="A12" s="2" t="s">
        <v>27</v>
      </c>
      <c r="B12">
        <v>4</v>
      </c>
      <c r="C12">
        <v>138</v>
      </c>
      <c r="D12">
        <v>5</v>
      </c>
      <c r="E12">
        <v>235</v>
      </c>
      <c r="F12">
        <v>1149.8347182885921</v>
      </c>
      <c r="G12" s="5">
        <v>942.80667191831071</v>
      </c>
      <c r="H12">
        <v>743.375</v>
      </c>
      <c r="I12">
        <v>4</v>
      </c>
      <c r="J12">
        <v>1000</v>
      </c>
      <c r="K12">
        <v>7200</v>
      </c>
      <c r="L12">
        <v>720</v>
      </c>
      <c r="M12">
        <v>149</v>
      </c>
      <c r="N12">
        <v>15</v>
      </c>
      <c r="O12">
        <v>35</v>
      </c>
      <c r="P12">
        <v>4</v>
      </c>
      <c r="Q12">
        <v>0</v>
      </c>
      <c r="S12">
        <v>779.29</v>
      </c>
      <c r="T12" s="3">
        <f t="shared" si="0"/>
        <v>47.549014909544866</v>
      </c>
      <c r="U12" s="6">
        <f t="shared" si="1"/>
        <v>20.982775592951384</v>
      </c>
      <c r="V12" s="3">
        <f t="shared" si="2"/>
        <v>26.566239316593482</v>
      </c>
    </row>
    <row r="13" spans="1:22" x14ac:dyDescent="0.25">
      <c r="A13" s="2" t="s">
        <v>28</v>
      </c>
      <c r="B13">
        <v>3</v>
      </c>
      <c r="C13">
        <v>163</v>
      </c>
      <c r="D13">
        <v>5</v>
      </c>
      <c r="E13">
        <v>140</v>
      </c>
      <c r="F13">
        <v>1746.675638572028</v>
      </c>
      <c r="G13" s="5">
        <v>1475.958682112818</v>
      </c>
      <c r="H13">
        <v>1292.421875</v>
      </c>
      <c r="I13">
        <v>4</v>
      </c>
      <c r="J13">
        <v>1000</v>
      </c>
      <c r="K13">
        <v>7200</v>
      </c>
      <c r="L13">
        <v>720</v>
      </c>
      <c r="M13">
        <v>205</v>
      </c>
      <c r="N13">
        <v>22</v>
      </c>
      <c r="O13">
        <v>94</v>
      </c>
      <c r="P13">
        <v>5</v>
      </c>
      <c r="Q13">
        <v>0</v>
      </c>
      <c r="S13">
        <v>1195.8800000000001</v>
      </c>
      <c r="T13" s="3">
        <f t="shared" si="0"/>
        <v>46.057768218552695</v>
      </c>
      <c r="U13" s="6">
        <f t="shared" si="1"/>
        <v>23.420299872296383</v>
      </c>
      <c r="V13" s="3">
        <f t="shared" si="2"/>
        <v>22.637468346256313</v>
      </c>
    </row>
    <row r="14" spans="1:22" ht="15.75" thickBot="1" x14ac:dyDescent="0.3">
      <c r="A14" s="2" t="s">
        <v>29</v>
      </c>
      <c r="B14">
        <v>9</v>
      </c>
      <c r="C14">
        <v>417</v>
      </c>
      <c r="D14">
        <v>7</v>
      </c>
      <c r="E14">
        <v>2000</v>
      </c>
      <c r="F14">
        <v>6334.1302932916942</v>
      </c>
      <c r="G14" s="5">
        <v>5592.2468963564752</v>
      </c>
      <c r="H14">
        <v>7230.734375</v>
      </c>
      <c r="I14">
        <v>4</v>
      </c>
      <c r="J14">
        <v>1000</v>
      </c>
      <c r="K14">
        <v>7200</v>
      </c>
      <c r="L14">
        <v>720</v>
      </c>
      <c r="M14">
        <v>95</v>
      </c>
      <c r="N14">
        <v>35</v>
      </c>
      <c r="O14">
        <v>1</v>
      </c>
      <c r="P14">
        <v>0</v>
      </c>
      <c r="Q14">
        <v>0</v>
      </c>
      <c r="S14">
        <v>3511.62</v>
      </c>
      <c r="T14" s="3">
        <f t="shared" si="0"/>
        <v>80.376301914549259</v>
      </c>
      <c r="U14" s="6">
        <f t="shared" si="1"/>
        <v>59.249773505005521</v>
      </c>
      <c r="V14" s="3">
        <f t="shared" si="2"/>
        <v>21.126528409543738</v>
      </c>
    </row>
    <row r="15" spans="1:22" ht="15.75" thickBot="1" x14ac:dyDescent="0.3">
      <c r="A15" s="2" t="s">
        <v>30</v>
      </c>
      <c r="B15">
        <v>2</v>
      </c>
      <c r="C15">
        <v>20</v>
      </c>
      <c r="D15">
        <v>4</v>
      </c>
      <c r="E15">
        <v>20</v>
      </c>
      <c r="F15">
        <v>954.80711889752502</v>
      </c>
      <c r="G15" s="5">
        <v>954.80711889752502</v>
      </c>
      <c r="H15">
        <v>6.46875</v>
      </c>
      <c r="I15">
        <v>4</v>
      </c>
      <c r="J15">
        <v>1000</v>
      </c>
      <c r="K15">
        <v>7200</v>
      </c>
      <c r="L15">
        <v>720</v>
      </c>
      <c r="M15">
        <v>0</v>
      </c>
      <c r="N15">
        <v>0</v>
      </c>
      <c r="O15">
        <v>0</v>
      </c>
      <c r="P15">
        <v>0</v>
      </c>
      <c r="Q15">
        <v>0</v>
      </c>
      <c r="S15">
        <v>954.81</v>
      </c>
      <c r="T15" s="3">
        <f t="shared" si="0"/>
        <v>-3.0174615629618984E-4</v>
      </c>
      <c r="U15" s="7">
        <f t="shared" si="1"/>
        <v>-3.0174615629618984E-4</v>
      </c>
      <c r="V15" s="8">
        <f t="shared" si="2"/>
        <v>0</v>
      </c>
    </row>
    <row r="16" spans="1:22" ht="15.75" thickBot="1" x14ac:dyDescent="0.3">
      <c r="A16" s="2" t="s">
        <v>31</v>
      </c>
      <c r="B16">
        <v>2</v>
      </c>
      <c r="C16">
        <v>38</v>
      </c>
      <c r="D16">
        <v>4</v>
      </c>
      <c r="E16">
        <v>30</v>
      </c>
      <c r="F16">
        <v>1899.885733385785</v>
      </c>
      <c r="G16" s="5">
        <v>1899.885733385785</v>
      </c>
      <c r="H16">
        <v>5.828125</v>
      </c>
      <c r="I16">
        <v>4</v>
      </c>
      <c r="J16">
        <v>1000</v>
      </c>
      <c r="K16">
        <v>7200</v>
      </c>
      <c r="L16">
        <v>720</v>
      </c>
      <c r="M16">
        <v>0</v>
      </c>
      <c r="N16">
        <v>0</v>
      </c>
      <c r="O16">
        <v>0</v>
      </c>
      <c r="P16">
        <v>0</v>
      </c>
      <c r="Q16">
        <v>0</v>
      </c>
      <c r="S16">
        <v>1862.63</v>
      </c>
      <c r="T16" s="3">
        <f t="shared" si="0"/>
        <v>2.0001682237365941</v>
      </c>
      <c r="U16" s="7">
        <f t="shared" si="1"/>
        <v>2.0001682237365941</v>
      </c>
      <c r="V16" s="8">
        <f t="shared" si="2"/>
        <v>0</v>
      </c>
    </row>
    <row r="17" spans="1:22" ht="15.75" thickBot="1" x14ac:dyDescent="0.3">
      <c r="A17" s="2" t="s">
        <v>32</v>
      </c>
      <c r="B17">
        <v>2</v>
      </c>
      <c r="C17">
        <v>56</v>
      </c>
      <c r="D17">
        <v>4</v>
      </c>
      <c r="E17">
        <v>40</v>
      </c>
      <c r="F17">
        <v>3201.1465251106042</v>
      </c>
      <c r="G17" s="5">
        <v>3179.0510337214159</v>
      </c>
      <c r="H17">
        <v>10.5625</v>
      </c>
      <c r="I17">
        <v>4</v>
      </c>
      <c r="J17">
        <v>1000</v>
      </c>
      <c r="K17">
        <v>7200</v>
      </c>
      <c r="L17">
        <v>720</v>
      </c>
      <c r="M17">
        <v>2</v>
      </c>
      <c r="N17">
        <v>0</v>
      </c>
      <c r="O17">
        <v>0</v>
      </c>
      <c r="P17">
        <v>0</v>
      </c>
      <c r="Q17">
        <v>0</v>
      </c>
      <c r="S17">
        <v>2875.24</v>
      </c>
      <c r="T17" s="3">
        <f t="shared" si="0"/>
        <v>11.334932913795171</v>
      </c>
      <c r="U17" s="6">
        <f t="shared" si="1"/>
        <v>10.566458233796695</v>
      </c>
      <c r="V17" s="3">
        <f t="shared" si="2"/>
        <v>0.76847467999847652</v>
      </c>
    </row>
    <row r="18" spans="1:22" ht="15.75" thickBot="1" x14ac:dyDescent="0.3">
      <c r="A18" s="2" t="s">
        <v>33</v>
      </c>
      <c r="B18">
        <v>4</v>
      </c>
      <c r="C18">
        <v>40</v>
      </c>
      <c r="D18">
        <v>4</v>
      </c>
      <c r="E18">
        <v>20</v>
      </c>
      <c r="F18">
        <v>1703.872161915519</v>
      </c>
      <c r="G18" s="5">
        <v>1703.872161915519</v>
      </c>
      <c r="H18">
        <v>6.890625</v>
      </c>
      <c r="I18">
        <v>4</v>
      </c>
      <c r="J18">
        <v>1000</v>
      </c>
      <c r="K18">
        <v>7200</v>
      </c>
      <c r="L18">
        <v>720</v>
      </c>
      <c r="M18">
        <v>0</v>
      </c>
      <c r="N18">
        <v>0</v>
      </c>
      <c r="O18">
        <v>0</v>
      </c>
      <c r="P18">
        <v>0</v>
      </c>
      <c r="Q18">
        <v>0</v>
      </c>
      <c r="S18">
        <v>1597.75</v>
      </c>
      <c r="T18" s="3">
        <f t="shared" si="0"/>
        <v>6.6419753976228577</v>
      </c>
      <c r="U18" s="6">
        <f t="shared" si="1"/>
        <v>6.6419753976228577</v>
      </c>
      <c r="V18" s="8">
        <f t="shared" si="2"/>
        <v>0</v>
      </c>
    </row>
    <row r="19" spans="1:22" ht="15.75" thickBot="1" x14ac:dyDescent="0.3">
      <c r="A19" s="2" t="s">
        <v>34</v>
      </c>
      <c r="B19">
        <v>4</v>
      </c>
      <c r="C19">
        <v>76</v>
      </c>
      <c r="D19">
        <v>4</v>
      </c>
      <c r="E19">
        <v>30</v>
      </c>
      <c r="F19">
        <v>3217.167440359513</v>
      </c>
      <c r="G19" s="5">
        <v>3217.167440359513</v>
      </c>
      <c r="H19">
        <v>5.984375</v>
      </c>
      <c r="I19">
        <v>4</v>
      </c>
      <c r="J19">
        <v>1000</v>
      </c>
      <c r="K19">
        <v>7200</v>
      </c>
      <c r="L19">
        <v>720</v>
      </c>
      <c r="M19">
        <v>0</v>
      </c>
      <c r="N19">
        <v>0</v>
      </c>
      <c r="O19">
        <v>0</v>
      </c>
      <c r="P19">
        <v>0</v>
      </c>
      <c r="Q19">
        <v>0</v>
      </c>
      <c r="S19">
        <v>3147.24</v>
      </c>
      <c r="T19" s="3">
        <f t="shared" si="0"/>
        <v>2.2218655189789445</v>
      </c>
      <c r="U19" s="7">
        <f t="shared" si="1"/>
        <v>2.2218655189789445</v>
      </c>
      <c r="V19" s="8">
        <f t="shared" si="2"/>
        <v>0</v>
      </c>
    </row>
    <row r="20" spans="1:22" ht="15.75" thickBot="1" x14ac:dyDescent="0.3">
      <c r="A20" s="2" t="s">
        <v>35</v>
      </c>
      <c r="B20">
        <v>4</v>
      </c>
      <c r="C20">
        <v>112</v>
      </c>
      <c r="D20">
        <v>4</v>
      </c>
      <c r="E20">
        <v>40</v>
      </c>
      <c r="F20">
        <v>4855.7678865271791</v>
      </c>
      <c r="G20" s="5">
        <v>4855.7678865271791</v>
      </c>
      <c r="H20">
        <v>7.984375</v>
      </c>
      <c r="I20">
        <v>4</v>
      </c>
      <c r="J20">
        <v>1000</v>
      </c>
      <c r="K20">
        <v>7200</v>
      </c>
      <c r="L20">
        <v>720</v>
      </c>
      <c r="M20">
        <v>0</v>
      </c>
      <c r="N20">
        <v>0</v>
      </c>
      <c r="O20">
        <v>0</v>
      </c>
      <c r="P20">
        <v>0</v>
      </c>
      <c r="Q20">
        <v>0</v>
      </c>
      <c r="S20">
        <v>4834.34</v>
      </c>
      <c r="T20" s="3">
        <f t="shared" si="0"/>
        <v>0.44324326644751011</v>
      </c>
      <c r="U20" s="7">
        <f t="shared" si="1"/>
        <v>0.44324326644751011</v>
      </c>
      <c r="V20" s="8">
        <f t="shared" si="2"/>
        <v>0</v>
      </c>
    </row>
    <row r="21" spans="1:22" ht="15.75" thickBot="1" x14ac:dyDescent="0.3">
      <c r="A21" s="2" t="s">
        <v>36</v>
      </c>
      <c r="B21">
        <v>4</v>
      </c>
      <c r="C21">
        <v>184</v>
      </c>
      <c r="D21">
        <v>4</v>
      </c>
      <c r="E21">
        <v>60</v>
      </c>
      <c r="F21">
        <v>9441.6174868667931</v>
      </c>
      <c r="G21" s="5">
        <v>9441.6174868667931</v>
      </c>
      <c r="H21">
        <v>12.984375</v>
      </c>
      <c r="I21">
        <v>4</v>
      </c>
      <c r="J21">
        <v>1000</v>
      </c>
      <c r="K21">
        <v>7200</v>
      </c>
      <c r="L21">
        <v>720</v>
      </c>
      <c r="M21">
        <v>0</v>
      </c>
      <c r="N21">
        <v>0</v>
      </c>
      <c r="O21">
        <v>0</v>
      </c>
      <c r="P21">
        <v>0</v>
      </c>
      <c r="Q21">
        <v>0</v>
      </c>
      <c r="S21">
        <v>8367.4</v>
      </c>
      <c r="T21" s="3">
        <f t="shared" si="0"/>
        <v>12.838127576867279</v>
      </c>
      <c r="U21" s="6">
        <f t="shared" si="1"/>
        <v>12.838127576867279</v>
      </c>
      <c r="V21" s="8">
        <f t="shared" si="2"/>
        <v>0</v>
      </c>
    </row>
    <row r="22" spans="1:22" ht="15.75" thickBot="1" x14ac:dyDescent="0.3">
      <c r="A22" s="2" t="s">
        <v>37</v>
      </c>
      <c r="B22">
        <v>6</v>
      </c>
      <c r="C22">
        <v>60</v>
      </c>
      <c r="D22">
        <v>4</v>
      </c>
      <c r="E22">
        <v>20</v>
      </c>
      <c r="F22">
        <v>2476.4553897065998</v>
      </c>
      <c r="G22" s="5">
        <v>2476.4553897065998</v>
      </c>
      <c r="H22">
        <v>9.53125</v>
      </c>
      <c r="I22">
        <v>4</v>
      </c>
      <c r="J22">
        <v>1000</v>
      </c>
      <c r="K22">
        <v>7200</v>
      </c>
      <c r="L22">
        <v>720</v>
      </c>
      <c r="M22">
        <v>0</v>
      </c>
      <c r="N22">
        <v>0</v>
      </c>
      <c r="O22">
        <v>0</v>
      </c>
      <c r="P22">
        <v>0</v>
      </c>
      <c r="Q22">
        <v>0</v>
      </c>
      <c r="S22">
        <v>2184.04</v>
      </c>
      <c r="T22" s="3">
        <f t="shared" si="0"/>
        <v>13.38873783019541</v>
      </c>
      <c r="U22" s="6">
        <f t="shared" si="1"/>
        <v>13.38873783019541</v>
      </c>
      <c r="V22" s="8">
        <f t="shared" si="2"/>
        <v>0</v>
      </c>
    </row>
    <row r="23" spans="1:22" ht="15.75" thickBot="1" x14ac:dyDescent="0.3">
      <c r="A23" s="2" t="s">
        <v>38</v>
      </c>
      <c r="B23">
        <v>6</v>
      </c>
      <c r="C23">
        <v>114</v>
      </c>
      <c r="D23">
        <v>4</v>
      </c>
      <c r="E23">
        <v>30</v>
      </c>
      <c r="F23">
        <v>4608.9469410204683</v>
      </c>
      <c r="G23" s="5">
        <v>4608.9469410204683</v>
      </c>
      <c r="H23">
        <v>9.53125</v>
      </c>
      <c r="I23">
        <v>4</v>
      </c>
      <c r="J23">
        <v>1000</v>
      </c>
      <c r="K23">
        <v>7200</v>
      </c>
      <c r="L23">
        <v>720</v>
      </c>
      <c r="M23">
        <v>0</v>
      </c>
      <c r="N23">
        <v>0</v>
      </c>
      <c r="O23">
        <v>0</v>
      </c>
      <c r="P23">
        <v>0</v>
      </c>
      <c r="Q23">
        <v>0</v>
      </c>
      <c r="S23">
        <v>4271.1099999999997</v>
      </c>
      <c r="T23" s="3">
        <f t="shared" si="0"/>
        <v>7.9098159733762117</v>
      </c>
      <c r="U23" s="6">
        <f t="shared" si="1"/>
        <v>7.9098159733762117</v>
      </c>
      <c r="V23" s="8">
        <f t="shared" si="2"/>
        <v>0</v>
      </c>
    </row>
    <row r="24" spans="1:22" ht="15.75" thickBot="1" x14ac:dyDescent="0.3">
      <c r="A24" s="2" t="s">
        <v>39</v>
      </c>
      <c r="B24">
        <v>6</v>
      </c>
      <c r="C24">
        <v>168</v>
      </c>
      <c r="D24">
        <v>4</v>
      </c>
      <c r="E24">
        <v>40</v>
      </c>
      <c r="F24">
        <v>6836.8705930980686</v>
      </c>
      <c r="G24" s="5">
        <v>6836.8705930980686</v>
      </c>
      <c r="H24">
        <v>10.515625</v>
      </c>
      <c r="I24">
        <v>4</v>
      </c>
      <c r="J24">
        <v>1000</v>
      </c>
      <c r="K24">
        <v>7200</v>
      </c>
      <c r="L24">
        <v>720</v>
      </c>
      <c r="M24">
        <v>0</v>
      </c>
      <c r="N24">
        <v>0</v>
      </c>
      <c r="O24">
        <v>0</v>
      </c>
      <c r="P24">
        <v>0</v>
      </c>
      <c r="Q24">
        <v>0</v>
      </c>
      <c r="S24">
        <v>6602.59</v>
      </c>
      <c r="T24" s="3">
        <f t="shared" si="0"/>
        <v>3.5483135117896012</v>
      </c>
      <c r="U24" s="7">
        <f t="shared" si="1"/>
        <v>3.5483135117896012</v>
      </c>
      <c r="V24" s="8">
        <f t="shared" si="2"/>
        <v>0</v>
      </c>
    </row>
    <row r="25" spans="1:22" x14ac:dyDescent="0.25">
      <c r="A25" s="2" t="s">
        <v>40</v>
      </c>
      <c r="B25">
        <v>3</v>
      </c>
      <c r="C25">
        <v>51</v>
      </c>
      <c r="D25">
        <v>6</v>
      </c>
      <c r="E25">
        <v>20</v>
      </c>
      <c r="F25">
        <v>5108.7119591551709</v>
      </c>
      <c r="G25" s="5">
        <v>4351.6996370629276</v>
      </c>
      <c r="H25">
        <v>132.34375</v>
      </c>
      <c r="I25">
        <v>4</v>
      </c>
      <c r="J25">
        <v>1000</v>
      </c>
      <c r="K25">
        <v>7200</v>
      </c>
      <c r="L25">
        <v>720</v>
      </c>
      <c r="M25">
        <v>41</v>
      </c>
      <c r="N25">
        <v>11</v>
      </c>
      <c r="O25">
        <v>13</v>
      </c>
      <c r="P25">
        <v>2</v>
      </c>
      <c r="Q25">
        <v>0</v>
      </c>
      <c r="S25">
        <v>3687.46</v>
      </c>
      <c r="T25" s="3">
        <f t="shared" si="0"/>
        <v>38.542844102855923</v>
      </c>
      <c r="U25" s="6">
        <f t="shared" si="1"/>
        <v>18.013473693624547</v>
      </c>
      <c r="V25" s="3">
        <f t="shared" si="2"/>
        <v>20.529370409231376</v>
      </c>
    </row>
    <row r="26" spans="1:22" x14ac:dyDescent="0.25">
      <c r="A26" s="2" t="s">
        <v>41</v>
      </c>
      <c r="B26">
        <v>3</v>
      </c>
      <c r="C26">
        <v>51</v>
      </c>
      <c r="D26">
        <v>6</v>
      </c>
      <c r="E26">
        <v>20</v>
      </c>
      <c r="F26">
        <v>5108.7119591551709</v>
      </c>
      <c r="G26" s="5">
        <v>4366.5898539094696</v>
      </c>
      <c r="H26">
        <v>113.6875</v>
      </c>
      <c r="I26">
        <v>4</v>
      </c>
      <c r="J26">
        <v>1000</v>
      </c>
      <c r="K26">
        <v>7200</v>
      </c>
      <c r="L26">
        <v>720</v>
      </c>
      <c r="M26">
        <v>45</v>
      </c>
      <c r="N26">
        <v>7</v>
      </c>
      <c r="O26">
        <v>12</v>
      </c>
      <c r="P26">
        <v>1</v>
      </c>
      <c r="Q26">
        <v>0</v>
      </c>
      <c r="S26">
        <v>3777.15</v>
      </c>
      <c r="T26" s="3">
        <f t="shared" si="0"/>
        <v>35.253086564080604</v>
      </c>
      <c r="U26" s="6">
        <f t="shared" si="1"/>
        <v>15.605412914749735</v>
      </c>
      <c r="V26" s="3">
        <f t="shared" si="2"/>
        <v>19.647673649330869</v>
      </c>
    </row>
    <row r="27" spans="1:22" x14ac:dyDescent="0.25">
      <c r="A27" s="2" t="s">
        <v>42</v>
      </c>
      <c r="B27">
        <v>3</v>
      </c>
      <c r="C27">
        <v>51</v>
      </c>
      <c r="D27">
        <v>6</v>
      </c>
      <c r="E27">
        <v>20</v>
      </c>
      <c r="F27">
        <v>5095.5001427590814</v>
      </c>
      <c r="G27" s="5">
        <v>4361.2928744490191</v>
      </c>
      <c r="H27">
        <v>124.875</v>
      </c>
      <c r="I27">
        <v>4</v>
      </c>
      <c r="J27">
        <v>1000</v>
      </c>
      <c r="K27">
        <v>7200</v>
      </c>
      <c r="L27">
        <v>720</v>
      </c>
      <c r="M27">
        <v>33</v>
      </c>
      <c r="N27">
        <v>12</v>
      </c>
      <c r="O27">
        <v>10</v>
      </c>
      <c r="P27">
        <v>1</v>
      </c>
      <c r="Q27">
        <v>0</v>
      </c>
      <c r="S27">
        <v>3795.33</v>
      </c>
      <c r="T27" s="3">
        <f t="shared" si="0"/>
        <v>34.257103934548013</v>
      </c>
      <c r="U27" s="6">
        <f t="shared" si="1"/>
        <v>14.912086022796942</v>
      </c>
      <c r="V27" s="3">
        <f t="shared" si="2"/>
        <v>19.345017911751071</v>
      </c>
    </row>
    <row r="28" spans="1:22" x14ac:dyDescent="0.25">
      <c r="A28" s="2" t="s">
        <v>43</v>
      </c>
      <c r="B28">
        <v>6</v>
      </c>
      <c r="C28">
        <v>102</v>
      </c>
      <c r="D28">
        <v>6</v>
      </c>
      <c r="E28">
        <v>20</v>
      </c>
      <c r="F28">
        <v>33794.612677890836</v>
      </c>
      <c r="G28" s="5">
        <v>27916.90684533845</v>
      </c>
      <c r="H28">
        <v>857.015625</v>
      </c>
      <c r="I28">
        <v>4</v>
      </c>
      <c r="J28">
        <v>1000</v>
      </c>
      <c r="K28">
        <v>7200</v>
      </c>
      <c r="L28">
        <v>720</v>
      </c>
      <c r="M28">
        <v>105</v>
      </c>
      <c r="N28">
        <v>16</v>
      </c>
      <c r="O28">
        <v>39</v>
      </c>
      <c r="P28">
        <v>1</v>
      </c>
      <c r="Q28">
        <v>0</v>
      </c>
      <c r="S28">
        <v>21956.46</v>
      </c>
      <c r="T28" s="3">
        <f t="shared" si="0"/>
        <v>53.916490535773249</v>
      </c>
      <c r="U28" s="6">
        <f t="shared" si="1"/>
        <v>27.146665925829808</v>
      </c>
      <c r="V28" s="3">
        <f t="shared" si="2"/>
        <v>26.769824609943441</v>
      </c>
    </row>
    <row r="29" spans="1:22" x14ac:dyDescent="0.25">
      <c r="A29" s="2" t="s">
        <v>44</v>
      </c>
      <c r="B29">
        <v>6</v>
      </c>
      <c r="C29">
        <v>102</v>
      </c>
      <c r="D29">
        <v>6</v>
      </c>
      <c r="E29">
        <v>20</v>
      </c>
      <c r="F29">
        <v>33794.612677890836</v>
      </c>
      <c r="G29" s="5">
        <v>28577.123524401501</v>
      </c>
      <c r="H29">
        <v>917.6875</v>
      </c>
      <c r="I29">
        <v>4</v>
      </c>
      <c r="J29">
        <v>1000</v>
      </c>
      <c r="K29">
        <v>7200</v>
      </c>
      <c r="L29">
        <v>720</v>
      </c>
      <c r="M29">
        <v>110</v>
      </c>
      <c r="N29">
        <v>17</v>
      </c>
      <c r="O29">
        <v>34</v>
      </c>
      <c r="P29">
        <v>4</v>
      </c>
      <c r="Q29">
        <v>0</v>
      </c>
      <c r="S29">
        <v>22934.71</v>
      </c>
      <c r="T29" s="3">
        <f t="shared" si="0"/>
        <v>47.351384333574913</v>
      </c>
      <c r="U29" s="6">
        <f t="shared" si="1"/>
        <v>24.602070505367195</v>
      </c>
      <c r="V29" s="3">
        <f t="shared" si="2"/>
        <v>22.749313828207718</v>
      </c>
    </row>
    <row r="30" spans="1:22" x14ac:dyDescent="0.25">
      <c r="A30" s="2" t="s">
        <v>45</v>
      </c>
      <c r="B30">
        <v>6</v>
      </c>
      <c r="C30">
        <v>102</v>
      </c>
      <c r="D30">
        <v>6</v>
      </c>
      <c r="E30">
        <v>20</v>
      </c>
      <c r="F30">
        <v>34142.254083445099</v>
      </c>
      <c r="G30" s="5">
        <v>29650.47309950606</v>
      </c>
      <c r="H30">
        <v>831.34375</v>
      </c>
      <c r="I30">
        <v>4</v>
      </c>
      <c r="J30">
        <v>1000</v>
      </c>
      <c r="K30">
        <v>7200</v>
      </c>
      <c r="L30">
        <v>720</v>
      </c>
      <c r="M30">
        <v>64</v>
      </c>
      <c r="N30">
        <v>40</v>
      </c>
      <c r="O30">
        <v>29</v>
      </c>
      <c r="P30">
        <v>0</v>
      </c>
      <c r="Q30">
        <v>0</v>
      </c>
      <c r="S30">
        <v>22909.360000000001</v>
      </c>
      <c r="T30" s="3">
        <f t="shared" si="0"/>
        <v>49.031898243534954</v>
      </c>
      <c r="U30" s="6">
        <f t="shared" si="1"/>
        <v>29.425148059596864</v>
      </c>
      <c r="V30" s="3">
        <f t="shared" si="2"/>
        <v>19.60675018393809</v>
      </c>
    </row>
    <row r="31" spans="1:22" x14ac:dyDescent="0.25">
      <c r="A31" s="2" t="s">
        <v>46</v>
      </c>
      <c r="B31">
        <v>9</v>
      </c>
      <c r="C31">
        <v>153</v>
      </c>
      <c r="D31">
        <v>6</v>
      </c>
      <c r="E31">
        <v>20</v>
      </c>
      <c r="F31">
        <v>125606.574243333</v>
      </c>
      <c r="G31" s="5">
        <v>97228.168092197084</v>
      </c>
      <c r="H31">
        <v>5718.796875</v>
      </c>
      <c r="I31">
        <v>4</v>
      </c>
      <c r="J31">
        <v>1000</v>
      </c>
      <c r="K31">
        <v>7200</v>
      </c>
      <c r="L31">
        <v>720</v>
      </c>
      <c r="M31">
        <v>159</v>
      </c>
      <c r="N31">
        <v>50</v>
      </c>
      <c r="O31">
        <v>72</v>
      </c>
      <c r="P31">
        <v>5</v>
      </c>
      <c r="Q31">
        <v>0</v>
      </c>
      <c r="S31">
        <v>75016.58</v>
      </c>
      <c r="T31" s="3">
        <f t="shared" si="0"/>
        <v>67.438417271665799</v>
      </c>
      <c r="U31" s="6">
        <f t="shared" si="1"/>
        <v>29.608905247609385</v>
      </c>
      <c r="V31" s="3">
        <f t="shared" si="2"/>
        <v>37.829512024056413</v>
      </c>
    </row>
    <row r="32" spans="1:22" x14ac:dyDescent="0.25">
      <c r="A32" s="2" t="s">
        <v>47</v>
      </c>
      <c r="B32">
        <v>9</v>
      </c>
      <c r="C32">
        <v>153</v>
      </c>
      <c r="D32">
        <v>6</v>
      </c>
      <c r="E32">
        <v>20</v>
      </c>
      <c r="F32">
        <v>127635.67882667739</v>
      </c>
      <c r="G32" s="5">
        <v>104937.2461017334</v>
      </c>
      <c r="H32">
        <v>4086.9375</v>
      </c>
      <c r="I32">
        <v>4</v>
      </c>
      <c r="J32">
        <v>1000</v>
      </c>
      <c r="K32">
        <v>7200</v>
      </c>
      <c r="L32">
        <v>720</v>
      </c>
      <c r="M32">
        <v>144</v>
      </c>
      <c r="N32">
        <v>34</v>
      </c>
      <c r="O32">
        <v>56</v>
      </c>
      <c r="P32">
        <v>1</v>
      </c>
      <c r="Q32">
        <v>0</v>
      </c>
      <c r="S32">
        <v>78179.89</v>
      </c>
      <c r="T32" s="3">
        <f t="shared" si="0"/>
        <v>63.258964455792125</v>
      </c>
      <c r="U32" s="6">
        <f t="shared" si="1"/>
        <v>34.225369339523752</v>
      </c>
      <c r="V32" s="3">
        <f t="shared" si="2"/>
        <v>29.033595116268373</v>
      </c>
    </row>
    <row r="33" spans="1:22" x14ac:dyDescent="0.25">
      <c r="A33" s="2" t="s">
        <v>48</v>
      </c>
      <c r="B33">
        <v>9</v>
      </c>
      <c r="C33">
        <v>153</v>
      </c>
      <c r="D33">
        <v>6</v>
      </c>
      <c r="E33">
        <v>20</v>
      </c>
      <c r="F33">
        <v>126353.9267526294</v>
      </c>
      <c r="G33" s="5">
        <v>100476.24348211809</v>
      </c>
      <c r="H33">
        <v>5699.96875</v>
      </c>
      <c r="I33">
        <v>4</v>
      </c>
      <c r="J33">
        <v>1000</v>
      </c>
      <c r="K33">
        <v>7200</v>
      </c>
      <c r="L33">
        <v>720</v>
      </c>
      <c r="M33">
        <v>145</v>
      </c>
      <c r="N33">
        <v>47</v>
      </c>
      <c r="O33">
        <v>68</v>
      </c>
      <c r="P33">
        <v>6</v>
      </c>
      <c r="Q33">
        <v>0</v>
      </c>
      <c r="S33">
        <v>80479.199999999997</v>
      </c>
      <c r="T33" s="3">
        <f t="shared" si="0"/>
        <v>57.00196666049041</v>
      </c>
      <c r="U33" s="6">
        <f t="shared" si="1"/>
        <v>24.847468019212542</v>
      </c>
      <c r="V33" s="3">
        <f t="shared" si="2"/>
        <v>32.154498641277868</v>
      </c>
    </row>
    <row r="35" spans="1:22" x14ac:dyDescent="0.25">
      <c r="T35" s="3">
        <f>SUM(T2:T33)/32</f>
        <v>33.879336864738725</v>
      </c>
      <c r="U35" s="6">
        <f>SUM(U2:U33)/32</f>
        <v>18.484081534032448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4686-782D-4F76-B996-CE17E59B5B2B}">
  <dimension ref="A1:AD36"/>
  <sheetViews>
    <sheetView topLeftCell="Q1" zoomScale="68" workbookViewId="0">
      <selection activeCell="AQ23" sqref="AQ23"/>
    </sheetView>
  </sheetViews>
  <sheetFormatPr defaultRowHeight="15" x14ac:dyDescent="0.25"/>
  <cols>
    <col min="2" max="5" width="0" hidden="1" customWidth="1"/>
    <col min="6" max="6" width="2.7109375" customWidth="1"/>
    <col min="7" max="7" width="13.7109375" customWidth="1"/>
    <col min="8" max="8" width="2.7109375" customWidth="1"/>
    <col min="9" max="10" width="13.7109375" customWidth="1"/>
    <col min="11" max="11" width="2.7109375" customWidth="1"/>
    <col min="12" max="15" width="13.7109375" customWidth="1"/>
    <col min="16" max="16" width="2.7109375" customWidth="1"/>
    <col min="17" max="20" width="13.7109375" customWidth="1"/>
    <col min="21" max="21" width="2.7109375" customWidth="1"/>
    <col min="22" max="25" width="13.7109375" customWidth="1"/>
    <col min="26" max="26" width="2.7109375" customWidth="1"/>
    <col min="27" max="30" width="13.7109375" customWidth="1"/>
  </cols>
  <sheetData>
    <row r="1" spans="1:30" x14ac:dyDescent="0.25">
      <c r="L1" s="33">
        <v>250</v>
      </c>
      <c r="M1" s="33"/>
      <c r="N1" s="33"/>
      <c r="O1" s="33"/>
      <c r="Q1" s="34">
        <v>500</v>
      </c>
      <c r="R1" s="34"/>
      <c r="S1" s="34"/>
      <c r="T1" s="34"/>
      <c r="V1" s="33">
        <v>750</v>
      </c>
      <c r="W1" s="33"/>
      <c r="X1" s="33"/>
      <c r="Y1" s="33"/>
      <c r="AA1" s="33">
        <v>1000</v>
      </c>
      <c r="AB1" s="33"/>
      <c r="AC1" s="33"/>
      <c r="AD1" s="33"/>
    </row>
    <row r="2" spans="1:30" s="19" customFormat="1" ht="30" customHeigh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11" t="s">
        <v>4</v>
      </c>
      <c r="F2" s="12"/>
      <c r="G2" s="13" t="s">
        <v>51</v>
      </c>
      <c r="H2" s="12"/>
      <c r="I2" s="14" t="s">
        <v>5</v>
      </c>
      <c r="J2" s="11" t="s">
        <v>49</v>
      </c>
      <c r="K2" s="12"/>
      <c r="L2" s="15" t="s">
        <v>6</v>
      </c>
      <c r="M2" s="10" t="s">
        <v>7</v>
      </c>
      <c r="N2" s="16" t="s">
        <v>50</v>
      </c>
      <c r="O2" s="11" t="s">
        <v>53</v>
      </c>
      <c r="Q2" s="17" t="s">
        <v>6</v>
      </c>
      <c r="R2" s="18" t="s">
        <v>7</v>
      </c>
      <c r="S2" s="16" t="s">
        <v>50</v>
      </c>
      <c r="T2" s="19" t="s">
        <v>54</v>
      </c>
      <c r="V2" s="21" t="s">
        <v>6</v>
      </c>
      <c r="W2" s="9" t="s">
        <v>7</v>
      </c>
      <c r="X2" s="16" t="s">
        <v>50</v>
      </c>
      <c r="Y2" s="20" t="s">
        <v>55</v>
      </c>
      <c r="AA2" s="4" t="s">
        <v>6</v>
      </c>
      <c r="AB2" s="1" t="s">
        <v>7</v>
      </c>
      <c r="AC2" s="16" t="s">
        <v>50</v>
      </c>
      <c r="AD2" s="20" t="s">
        <v>56</v>
      </c>
    </row>
    <row r="3" spans="1:30" x14ac:dyDescent="0.25">
      <c r="A3" s="2" t="s">
        <v>17</v>
      </c>
      <c r="B3">
        <v>3</v>
      </c>
      <c r="C3">
        <v>51</v>
      </c>
      <c r="D3">
        <v>2</v>
      </c>
      <c r="E3">
        <v>160</v>
      </c>
      <c r="G3">
        <v>524.61</v>
      </c>
      <c r="I3">
        <v>699.94207123913566</v>
      </c>
      <c r="J3" s="3">
        <f>(I3*100)/$G3-100</f>
        <v>33.421412332806398</v>
      </c>
      <c r="K3" s="3"/>
      <c r="L3" s="5">
        <v>616.54867304076424</v>
      </c>
      <c r="M3">
        <v>5.03125</v>
      </c>
      <c r="N3" s="6">
        <f t="shared" ref="N3:N34" si="0">(L3*100)/$G3-100</f>
        <v>17.525146878779324</v>
      </c>
      <c r="O3" s="3">
        <f t="shared" ref="O3:O34" si="1">J3-N3</f>
        <v>15.896265454027073</v>
      </c>
      <c r="Q3" s="5">
        <v>599.81795982436461</v>
      </c>
      <c r="R3">
        <v>15.109375</v>
      </c>
      <c r="S3" s="6">
        <f>(Q3*100)/$G3-100</f>
        <v>14.33597526245488</v>
      </c>
      <c r="T3" s="3">
        <f>N3-S3</f>
        <v>3.1891716163244439</v>
      </c>
      <c r="V3" s="5">
        <v>599.9329154940724</v>
      </c>
      <c r="W3">
        <v>15.0625</v>
      </c>
      <c r="X3" s="6">
        <f>(V3*100)/$G3-100</f>
        <v>14.357887858422899</v>
      </c>
      <c r="Y3" s="3">
        <f>S3-X3</f>
        <v>-2.1912595968018422E-2</v>
      </c>
      <c r="AA3" s="5">
        <v>626.381749097632</v>
      </c>
      <c r="AB3">
        <v>12.671875</v>
      </c>
      <c r="AC3" s="6">
        <f>(AA3*100)/$G3-100</f>
        <v>19.399506127910627</v>
      </c>
      <c r="AD3" s="3">
        <f>X3-AC3</f>
        <v>-5.0416182694877278</v>
      </c>
    </row>
    <row r="4" spans="1:30" x14ac:dyDescent="0.25">
      <c r="A4" s="2" t="s">
        <v>18</v>
      </c>
      <c r="B4">
        <v>3</v>
      </c>
      <c r="C4">
        <v>50</v>
      </c>
      <c r="D4">
        <v>5</v>
      </c>
      <c r="E4">
        <v>160</v>
      </c>
      <c r="G4">
        <v>1322.87</v>
      </c>
      <c r="I4">
        <v>1806.0337130867761</v>
      </c>
      <c r="J4" s="3">
        <f t="shared" ref="J4:J34" si="2">(I4*100)/$G4-100</f>
        <v>36.523899785071563</v>
      </c>
      <c r="K4" s="3"/>
      <c r="L4" s="5">
        <v>1576.102516789007</v>
      </c>
      <c r="M4">
        <v>35.296875</v>
      </c>
      <c r="N4" s="6">
        <f t="shared" si="0"/>
        <v>19.142660789722896</v>
      </c>
      <c r="O4" s="3">
        <f t="shared" si="1"/>
        <v>17.381238995348667</v>
      </c>
      <c r="Q4" s="5">
        <v>1553.535876004692</v>
      </c>
      <c r="R4">
        <v>53.046875</v>
      </c>
      <c r="S4" s="6">
        <f t="shared" ref="S4:S34" si="3">(Q4*100)/$G4-100</f>
        <v>17.436775798430105</v>
      </c>
      <c r="T4" s="3">
        <f t="shared" ref="T4:T34" si="4">N4-S4</f>
        <v>1.7058849912927911</v>
      </c>
      <c r="V4" s="5">
        <v>1628.8983584984351</v>
      </c>
      <c r="W4">
        <v>47.640625</v>
      </c>
      <c r="X4" s="6">
        <f t="shared" ref="X4:X34" si="5">(V4*100)/$G4-100</f>
        <v>23.133668349757372</v>
      </c>
      <c r="Y4" s="3">
        <f t="shared" ref="Y4:Y34" si="6">S4-X4</f>
        <v>-5.6968925513272666</v>
      </c>
      <c r="AA4" s="5">
        <v>1620.477336481403</v>
      </c>
      <c r="AB4">
        <v>66</v>
      </c>
      <c r="AC4" s="6">
        <f t="shared" ref="AC4:AC34" si="7">(AA4*100)/$G4-100</f>
        <v>22.497096198523153</v>
      </c>
      <c r="AD4" s="3">
        <f t="shared" ref="AD4:AD34" si="8">X4-AC4</f>
        <v>0.63657215123421906</v>
      </c>
    </row>
    <row r="5" spans="1:30" x14ac:dyDescent="0.25">
      <c r="A5" s="2" t="s">
        <v>19</v>
      </c>
      <c r="B5">
        <v>1</v>
      </c>
      <c r="C5">
        <v>50</v>
      </c>
      <c r="D5">
        <v>5</v>
      </c>
      <c r="E5">
        <v>160</v>
      </c>
      <c r="G5">
        <v>524.61</v>
      </c>
      <c r="I5">
        <v>707.71782597313984</v>
      </c>
      <c r="J5" s="3">
        <f t="shared" si="2"/>
        <v>34.903609533394302</v>
      </c>
      <c r="K5" s="3"/>
      <c r="L5" s="5">
        <v>644.63858577630526</v>
      </c>
      <c r="M5">
        <v>1.296875</v>
      </c>
      <c r="N5" s="6">
        <f t="shared" si="0"/>
        <v>22.879584029337082</v>
      </c>
      <c r="O5" s="3">
        <f t="shared" si="1"/>
        <v>12.024025504057221</v>
      </c>
      <c r="Q5" s="5">
        <v>631.5644526152646</v>
      </c>
      <c r="R5">
        <v>5.921875</v>
      </c>
      <c r="S5" s="6">
        <f t="shared" si="3"/>
        <v>20.387421630404418</v>
      </c>
      <c r="T5" s="3">
        <f t="shared" si="4"/>
        <v>2.4921623989326633</v>
      </c>
      <c r="V5" s="5">
        <v>630.48644546083551</v>
      </c>
      <c r="W5">
        <v>6.34375</v>
      </c>
      <c r="X5" s="6">
        <f t="shared" si="5"/>
        <v>20.181934286581551</v>
      </c>
      <c r="Y5" s="3">
        <f t="shared" si="6"/>
        <v>0.20548734382286682</v>
      </c>
      <c r="AA5" s="5">
        <v>614.8756740218621</v>
      </c>
      <c r="AB5">
        <v>7.5625</v>
      </c>
      <c r="AC5" s="6">
        <f t="shared" si="7"/>
        <v>17.20624349933513</v>
      </c>
      <c r="AD5" s="3">
        <f t="shared" si="8"/>
        <v>2.9756907872464211</v>
      </c>
    </row>
    <row r="6" spans="1:30" x14ac:dyDescent="0.25">
      <c r="A6" s="2" t="s">
        <v>20</v>
      </c>
      <c r="B6">
        <v>5</v>
      </c>
      <c r="C6">
        <v>75</v>
      </c>
      <c r="D6">
        <v>2</v>
      </c>
      <c r="E6">
        <v>140</v>
      </c>
      <c r="G6">
        <v>835.43</v>
      </c>
      <c r="I6">
        <v>1191.564504632046</v>
      </c>
      <c r="J6" s="3">
        <f t="shared" si="2"/>
        <v>42.628886277970167</v>
      </c>
      <c r="K6" s="3"/>
      <c r="L6" s="5">
        <v>1061.5680088637141</v>
      </c>
      <c r="M6">
        <v>23.8125</v>
      </c>
      <c r="N6" s="6">
        <f t="shared" si="0"/>
        <v>27.068456826270804</v>
      </c>
      <c r="O6" s="3">
        <f t="shared" si="1"/>
        <v>15.560429451699363</v>
      </c>
      <c r="Q6" s="5">
        <v>993.40814169373516</v>
      </c>
      <c r="R6">
        <v>89.78125</v>
      </c>
      <c r="S6" s="6">
        <f t="shared" si="3"/>
        <v>18.909799946582609</v>
      </c>
      <c r="T6" s="3">
        <f t="shared" si="4"/>
        <v>8.1586568796881949</v>
      </c>
      <c r="V6" s="5">
        <v>988.04915608435317</v>
      </c>
      <c r="W6">
        <v>153.28125</v>
      </c>
      <c r="X6" s="6">
        <f t="shared" si="5"/>
        <v>18.268335597758423</v>
      </c>
      <c r="Y6" s="3">
        <f t="shared" si="6"/>
        <v>0.64146434882418646</v>
      </c>
      <c r="AA6" s="5">
        <v>990.44548714325981</v>
      </c>
      <c r="AB6">
        <v>171.03125</v>
      </c>
      <c r="AC6" s="6">
        <f t="shared" si="7"/>
        <v>18.555173640312162</v>
      </c>
      <c r="AD6" s="3">
        <f t="shared" si="8"/>
        <v>-0.28683804255373957</v>
      </c>
    </row>
    <row r="7" spans="1:30" x14ac:dyDescent="0.25">
      <c r="A7" s="2" t="s">
        <v>21</v>
      </c>
      <c r="B7">
        <v>6</v>
      </c>
      <c r="C7">
        <v>75</v>
      </c>
      <c r="D7">
        <v>5</v>
      </c>
      <c r="E7">
        <v>140</v>
      </c>
      <c r="G7">
        <v>2027.99</v>
      </c>
      <c r="I7">
        <v>2803.0667370561068</v>
      </c>
      <c r="J7" s="3">
        <f t="shared" si="2"/>
        <v>38.21896247299577</v>
      </c>
      <c r="K7" s="3"/>
      <c r="L7" s="5">
        <v>2510.1809666295758</v>
      </c>
      <c r="M7">
        <v>65.765625</v>
      </c>
      <c r="N7" s="6">
        <f t="shared" si="0"/>
        <v>23.77679212567989</v>
      </c>
      <c r="O7" s="3">
        <f t="shared" si="1"/>
        <v>14.44217034731588</v>
      </c>
      <c r="Q7" s="5">
        <v>2473.815931555841</v>
      </c>
      <c r="R7">
        <v>74.40625</v>
      </c>
      <c r="S7" s="6">
        <f t="shared" si="3"/>
        <v>21.98363559760358</v>
      </c>
      <c r="T7" s="3">
        <f t="shared" si="4"/>
        <v>1.7931565280763095</v>
      </c>
      <c r="V7" s="5">
        <v>2388.285146680641</v>
      </c>
      <c r="W7">
        <v>210.984375</v>
      </c>
      <c r="X7" s="6">
        <f t="shared" si="5"/>
        <v>17.766120477943232</v>
      </c>
      <c r="Y7" s="3">
        <f t="shared" si="6"/>
        <v>4.217515119660348</v>
      </c>
      <c r="AA7" s="5">
        <v>2496.545833684268</v>
      </c>
      <c r="AB7">
        <v>258.796875</v>
      </c>
      <c r="AC7" s="6">
        <f t="shared" si="7"/>
        <v>23.104444976763588</v>
      </c>
      <c r="AD7" s="3">
        <f t="shared" si="8"/>
        <v>-5.3383244988203558</v>
      </c>
    </row>
    <row r="8" spans="1:30" x14ac:dyDescent="0.25">
      <c r="A8" s="2" t="s">
        <v>22</v>
      </c>
      <c r="B8">
        <v>1</v>
      </c>
      <c r="C8">
        <v>75</v>
      </c>
      <c r="D8">
        <v>10</v>
      </c>
      <c r="E8">
        <v>140</v>
      </c>
      <c r="G8">
        <v>836.37</v>
      </c>
      <c r="I8">
        <v>1202.7378153136131</v>
      </c>
      <c r="J8" s="3">
        <f t="shared" si="2"/>
        <v>43.804514187932739</v>
      </c>
      <c r="K8" s="3"/>
      <c r="L8" s="5">
        <v>1069.122036491432</v>
      </c>
      <c r="M8">
        <v>3.65625</v>
      </c>
      <c r="N8" s="6">
        <f t="shared" si="0"/>
        <v>27.828836100222631</v>
      </c>
      <c r="O8" s="3">
        <f t="shared" si="1"/>
        <v>15.975678087710108</v>
      </c>
      <c r="Q8" s="5">
        <v>987.43847020148849</v>
      </c>
      <c r="R8">
        <v>13.265625</v>
      </c>
      <c r="S8" s="6">
        <f t="shared" si="3"/>
        <v>18.062397049330855</v>
      </c>
      <c r="T8" s="3">
        <f t="shared" si="4"/>
        <v>9.7664390508917762</v>
      </c>
      <c r="V8" s="5">
        <v>983.8040520181894</v>
      </c>
      <c r="W8">
        <v>27.34375</v>
      </c>
      <c r="X8" s="6">
        <f t="shared" si="5"/>
        <v>17.627850355487325</v>
      </c>
      <c r="Y8" s="3">
        <f t="shared" si="6"/>
        <v>0.4345466938435294</v>
      </c>
      <c r="AA8" s="5">
        <v>1090.2565516152681</v>
      </c>
      <c r="AB8">
        <v>10.59375</v>
      </c>
      <c r="AC8" s="6">
        <f t="shared" si="7"/>
        <v>30.355769768794687</v>
      </c>
      <c r="AD8" s="3">
        <f t="shared" si="8"/>
        <v>-12.727919413307362</v>
      </c>
    </row>
    <row r="9" spans="1:30" x14ac:dyDescent="0.25">
      <c r="A9" s="2" t="s">
        <v>23</v>
      </c>
      <c r="B9">
        <v>4</v>
      </c>
      <c r="C9">
        <v>100</v>
      </c>
      <c r="D9">
        <v>2</v>
      </c>
      <c r="E9">
        <v>200</v>
      </c>
      <c r="G9">
        <v>826.14</v>
      </c>
      <c r="I9">
        <v>1215.7122377784151</v>
      </c>
      <c r="J9" s="3">
        <f t="shared" si="2"/>
        <v>47.155716679789776</v>
      </c>
      <c r="K9" s="3"/>
      <c r="L9" s="5">
        <v>1002.925835650611</v>
      </c>
      <c r="M9">
        <v>45.78125</v>
      </c>
      <c r="N9" s="6">
        <f t="shared" si="0"/>
        <v>21.399016589271909</v>
      </c>
      <c r="O9" s="3">
        <f t="shared" si="1"/>
        <v>25.756700090517867</v>
      </c>
      <c r="Q9" s="5">
        <v>995.16413427229713</v>
      </c>
      <c r="R9">
        <v>66.65625</v>
      </c>
      <c r="S9" s="6">
        <f t="shared" si="3"/>
        <v>20.459502538588751</v>
      </c>
      <c r="T9" s="3">
        <f t="shared" si="4"/>
        <v>0.93951405068315808</v>
      </c>
      <c r="V9" s="5">
        <v>987.33944186748886</v>
      </c>
      <c r="W9">
        <v>185.859375</v>
      </c>
      <c r="X9" s="6">
        <f t="shared" si="5"/>
        <v>19.512363747971136</v>
      </c>
      <c r="Y9" s="3">
        <f t="shared" si="6"/>
        <v>0.94713879061761475</v>
      </c>
      <c r="AA9" s="5">
        <v>925.75627457763233</v>
      </c>
      <c r="AB9">
        <v>228.328125</v>
      </c>
      <c r="AC9" s="6">
        <f t="shared" si="7"/>
        <v>12.05803793275139</v>
      </c>
      <c r="AD9" s="3">
        <f t="shared" si="8"/>
        <v>7.4543258152197467</v>
      </c>
    </row>
    <row r="10" spans="1:30" x14ac:dyDescent="0.25">
      <c r="A10" s="2" t="s">
        <v>24</v>
      </c>
      <c r="B10">
        <v>5</v>
      </c>
      <c r="C10">
        <v>100</v>
      </c>
      <c r="D10">
        <v>5</v>
      </c>
      <c r="E10">
        <v>200</v>
      </c>
      <c r="G10">
        <v>2034.15</v>
      </c>
      <c r="I10">
        <v>2739.4842456620681</v>
      </c>
      <c r="J10" s="3">
        <f t="shared" si="2"/>
        <v>34.674642758010378</v>
      </c>
      <c r="K10" s="3"/>
      <c r="L10" s="5">
        <v>2622.3236313856719</v>
      </c>
      <c r="M10">
        <v>39.75</v>
      </c>
      <c r="N10" s="6">
        <f t="shared" si="0"/>
        <v>28.914958650329226</v>
      </c>
      <c r="O10" s="3">
        <f t="shared" si="1"/>
        <v>5.7596841076811529</v>
      </c>
      <c r="Q10" s="5">
        <v>2619.150502119136</v>
      </c>
      <c r="R10">
        <v>57.375</v>
      </c>
      <c r="S10" s="6">
        <f t="shared" si="3"/>
        <v>28.758965765510709</v>
      </c>
      <c r="T10" s="3">
        <f t="shared" si="4"/>
        <v>0.15599288481851659</v>
      </c>
      <c r="V10" s="5">
        <v>2631.9333965698311</v>
      </c>
      <c r="W10">
        <v>85.65625</v>
      </c>
      <c r="X10" s="6">
        <f t="shared" si="5"/>
        <v>29.38738030970336</v>
      </c>
      <c r="Y10" s="3">
        <f t="shared" si="6"/>
        <v>-0.62841454419265119</v>
      </c>
      <c r="AA10" s="5">
        <v>2613.292187862166</v>
      </c>
      <c r="AB10">
        <v>122.359375</v>
      </c>
      <c r="AC10" s="6">
        <f t="shared" si="7"/>
        <v>28.470967620980048</v>
      </c>
      <c r="AD10" s="3">
        <f t="shared" si="8"/>
        <v>0.91641268872331239</v>
      </c>
    </row>
    <row r="11" spans="1:30" x14ac:dyDescent="0.25">
      <c r="A11" s="2" t="s">
        <v>25</v>
      </c>
      <c r="B11">
        <v>1</v>
      </c>
      <c r="C11">
        <v>100</v>
      </c>
      <c r="D11">
        <v>8</v>
      </c>
      <c r="E11">
        <v>200</v>
      </c>
      <c r="G11">
        <v>826.14</v>
      </c>
      <c r="I11">
        <v>1212.110570350635</v>
      </c>
      <c r="J11" s="3">
        <f t="shared" si="2"/>
        <v>46.719753353019485</v>
      </c>
      <c r="K11" s="3"/>
      <c r="L11" s="5">
        <v>998.96451436774805</v>
      </c>
      <c r="M11">
        <v>6.171875</v>
      </c>
      <c r="N11" s="6">
        <f t="shared" si="0"/>
        <v>20.919519012243455</v>
      </c>
      <c r="O11" s="3">
        <f t="shared" si="1"/>
        <v>25.800234340776029</v>
      </c>
      <c r="Q11" s="5">
        <v>971.59881465973649</v>
      </c>
      <c r="R11">
        <v>14.8125</v>
      </c>
      <c r="S11" s="6">
        <f t="shared" si="3"/>
        <v>17.607041743498257</v>
      </c>
      <c r="T11" s="3">
        <f t="shared" si="4"/>
        <v>3.312477268745198</v>
      </c>
      <c r="V11" s="5">
        <v>1008.107128636212</v>
      </c>
      <c r="W11">
        <v>9.125</v>
      </c>
      <c r="X11" s="6">
        <f t="shared" si="5"/>
        <v>22.026185469316587</v>
      </c>
      <c r="Y11" s="3">
        <f t="shared" si="6"/>
        <v>-4.4191437258183299</v>
      </c>
      <c r="AA11" s="5">
        <v>935.07928623027635</v>
      </c>
      <c r="AB11">
        <v>19.25</v>
      </c>
      <c r="AC11" s="6">
        <f t="shared" si="7"/>
        <v>13.186540565797117</v>
      </c>
      <c r="AD11" s="3">
        <f t="shared" si="8"/>
        <v>8.8396449035194706</v>
      </c>
    </row>
    <row r="12" spans="1:30" x14ac:dyDescent="0.25">
      <c r="A12" s="2" t="s">
        <v>26</v>
      </c>
      <c r="B12">
        <v>4</v>
      </c>
      <c r="C12">
        <v>100</v>
      </c>
      <c r="D12">
        <v>5</v>
      </c>
      <c r="E12">
        <v>200</v>
      </c>
      <c r="G12">
        <v>1595.84</v>
      </c>
      <c r="I12">
        <v>2325.542031937076</v>
      </c>
      <c r="J12" s="3">
        <f t="shared" si="2"/>
        <v>45.725262679032738</v>
      </c>
      <c r="K12" s="3"/>
      <c r="L12" s="5">
        <v>2045.8766974279649</v>
      </c>
      <c r="M12">
        <v>34.6875</v>
      </c>
      <c r="N12" s="6">
        <f t="shared" si="0"/>
        <v>28.200615188738539</v>
      </c>
      <c r="O12" s="3">
        <f t="shared" si="1"/>
        <v>17.5246474902942</v>
      </c>
      <c r="Q12" s="5">
        <v>1998.471501765664</v>
      </c>
      <c r="R12">
        <v>139</v>
      </c>
      <c r="S12" s="6">
        <f t="shared" si="3"/>
        <v>25.230067034644094</v>
      </c>
      <c r="T12" s="3">
        <f t="shared" si="4"/>
        <v>2.9705481540944447</v>
      </c>
      <c r="V12" s="5">
        <v>1983.0842612880399</v>
      </c>
      <c r="W12">
        <v>250.59375</v>
      </c>
      <c r="X12" s="6">
        <f t="shared" si="5"/>
        <v>24.265857560158906</v>
      </c>
      <c r="Y12" s="3">
        <f t="shared" si="6"/>
        <v>0.96420947448518746</v>
      </c>
      <c r="AA12" s="5">
        <v>1995.7411669494829</v>
      </c>
      <c r="AB12">
        <v>243.203125</v>
      </c>
      <c r="AC12" s="6">
        <f t="shared" si="7"/>
        <v>25.058976272651577</v>
      </c>
      <c r="AD12" s="3">
        <f t="shared" si="8"/>
        <v>-0.79311871249267085</v>
      </c>
    </row>
    <row r="13" spans="1:30" x14ac:dyDescent="0.25">
      <c r="A13" s="2" t="s">
        <v>27</v>
      </c>
      <c r="B13">
        <v>4</v>
      </c>
      <c r="C13">
        <v>138</v>
      </c>
      <c r="D13">
        <v>5</v>
      </c>
      <c r="E13">
        <v>235</v>
      </c>
      <c r="G13">
        <v>779.29</v>
      </c>
      <c r="I13">
        <v>1149.8347182885921</v>
      </c>
      <c r="J13" s="3">
        <f t="shared" si="2"/>
        <v>47.549014909544866</v>
      </c>
      <c r="K13" s="3"/>
      <c r="L13" s="5">
        <v>1010.848082048644</v>
      </c>
      <c r="M13">
        <v>160.3125</v>
      </c>
      <c r="N13" s="6">
        <f t="shared" si="0"/>
        <v>29.713980937602685</v>
      </c>
      <c r="O13" s="3">
        <f t="shared" si="1"/>
        <v>17.835033971942181</v>
      </c>
      <c r="Q13" s="5">
        <v>957.75124084835738</v>
      </c>
      <c r="R13">
        <v>501.375</v>
      </c>
      <c r="S13" s="6">
        <f t="shared" si="3"/>
        <v>22.900491581870355</v>
      </c>
      <c r="T13" s="3">
        <f t="shared" si="4"/>
        <v>6.8134893557323295</v>
      </c>
      <c r="V13" s="5">
        <v>919.70068488981644</v>
      </c>
      <c r="W13">
        <v>938.4375</v>
      </c>
      <c r="X13" s="6">
        <f t="shared" si="5"/>
        <v>18.017770648900481</v>
      </c>
      <c r="Y13" s="3">
        <f t="shared" si="6"/>
        <v>4.8827209329698746</v>
      </c>
      <c r="AA13" s="5">
        <v>942.80667191831071</v>
      </c>
      <c r="AB13">
        <v>743.375</v>
      </c>
      <c r="AC13" s="6">
        <f t="shared" si="7"/>
        <v>20.982775592951384</v>
      </c>
      <c r="AD13" s="3">
        <f t="shared" si="8"/>
        <v>-2.9650049440509036</v>
      </c>
    </row>
    <row r="14" spans="1:30" x14ac:dyDescent="0.25">
      <c r="A14" s="2" t="s">
        <v>28</v>
      </c>
      <c r="B14">
        <v>3</v>
      </c>
      <c r="C14">
        <v>163</v>
      </c>
      <c r="D14">
        <v>5</v>
      </c>
      <c r="E14">
        <v>140</v>
      </c>
      <c r="G14">
        <v>1195.8800000000001</v>
      </c>
      <c r="I14">
        <v>1746.675638572028</v>
      </c>
      <c r="J14" s="3">
        <f t="shared" si="2"/>
        <v>46.057768218552695</v>
      </c>
      <c r="K14" s="3"/>
      <c r="L14" s="5">
        <v>1563.545636578637</v>
      </c>
      <c r="M14">
        <v>287.8125</v>
      </c>
      <c r="N14" s="6">
        <f t="shared" si="0"/>
        <v>30.744358679686655</v>
      </c>
      <c r="O14" s="3">
        <f t="shared" si="1"/>
        <v>15.31340953886604</v>
      </c>
      <c r="Q14" s="5">
        <v>1535.5589249924519</v>
      </c>
      <c r="R14">
        <v>330.5625</v>
      </c>
      <c r="S14" s="6">
        <f t="shared" si="3"/>
        <v>28.404097818547996</v>
      </c>
      <c r="T14" s="3">
        <f t="shared" si="4"/>
        <v>2.3402608611386597</v>
      </c>
      <c r="V14" s="5">
        <v>1523.5517961550979</v>
      </c>
      <c r="W14">
        <v>795.78125</v>
      </c>
      <c r="X14" s="6">
        <f t="shared" si="5"/>
        <v>27.400056540380106</v>
      </c>
      <c r="Y14" s="3">
        <f t="shared" si="6"/>
        <v>1.0040412781678896</v>
      </c>
      <c r="AA14" s="5">
        <v>1475.958682112818</v>
      </c>
      <c r="AB14">
        <v>1292.421875</v>
      </c>
      <c r="AC14" s="6">
        <f t="shared" si="7"/>
        <v>23.420299872296383</v>
      </c>
      <c r="AD14" s="3">
        <f t="shared" si="8"/>
        <v>3.9797566680837235</v>
      </c>
    </row>
    <row r="15" spans="1:30" ht="15.75" thickBot="1" x14ac:dyDescent="0.3">
      <c r="A15" s="2" t="s">
        <v>29</v>
      </c>
      <c r="B15">
        <v>9</v>
      </c>
      <c r="C15">
        <v>417</v>
      </c>
      <c r="D15">
        <v>7</v>
      </c>
      <c r="E15">
        <v>2000</v>
      </c>
      <c r="G15">
        <v>3511.62</v>
      </c>
      <c r="I15">
        <v>6334.1302932916942</v>
      </c>
      <c r="J15" s="3">
        <f t="shared" si="2"/>
        <v>80.376301914549259</v>
      </c>
      <c r="K15" s="3"/>
      <c r="L15" s="5">
        <v>5198.8293688168114</v>
      </c>
      <c r="M15">
        <v>7228.859375</v>
      </c>
      <c r="N15" s="6">
        <f t="shared" si="0"/>
        <v>48.046467693452342</v>
      </c>
      <c r="O15" s="3">
        <f t="shared" si="1"/>
        <v>32.329834221096917</v>
      </c>
      <c r="Q15" s="5">
        <v>5349.5498413897258</v>
      </c>
      <c r="R15">
        <v>7232.53125</v>
      </c>
      <c r="S15" s="6">
        <f t="shared" si="3"/>
        <v>52.338517305110628</v>
      </c>
      <c r="T15" s="3">
        <f t="shared" si="4"/>
        <v>-4.2920496116582854</v>
      </c>
      <c r="V15" s="5">
        <v>5428.5190400650699</v>
      </c>
      <c r="W15">
        <v>7231.375</v>
      </c>
      <c r="X15" s="6">
        <f t="shared" si="5"/>
        <v>54.587314118984125</v>
      </c>
      <c r="Y15" s="3">
        <f t="shared" si="6"/>
        <v>-2.2487968138734971</v>
      </c>
      <c r="AA15" s="5">
        <v>5592.2468963564752</v>
      </c>
      <c r="AB15">
        <v>7230.734375</v>
      </c>
      <c r="AC15" s="6">
        <f t="shared" si="7"/>
        <v>59.249773505005521</v>
      </c>
      <c r="AD15" s="3">
        <f t="shared" si="8"/>
        <v>-4.6624593860213963</v>
      </c>
    </row>
    <row r="16" spans="1:30" ht="15.75" thickBot="1" x14ac:dyDescent="0.3">
      <c r="A16" s="2" t="s">
        <v>30</v>
      </c>
      <c r="B16">
        <v>2</v>
      </c>
      <c r="C16">
        <v>20</v>
      </c>
      <c r="D16">
        <v>4</v>
      </c>
      <c r="E16">
        <v>20</v>
      </c>
      <c r="G16">
        <v>954.81</v>
      </c>
      <c r="I16">
        <v>954.80711889752502</v>
      </c>
      <c r="J16" s="3">
        <f t="shared" si="2"/>
        <v>-3.0174615629618984E-4</v>
      </c>
      <c r="K16" s="3"/>
      <c r="L16" s="5">
        <v>954.80711889752502</v>
      </c>
      <c r="M16">
        <v>1.140625</v>
      </c>
      <c r="N16" s="7">
        <f t="shared" si="0"/>
        <v>-3.0174615629618984E-4</v>
      </c>
      <c r="O16" s="8">
        <f t="shared" si="1"/>
        <v>0</v>
      </c>
      <c r="Q16" s="5">
        <v>954.80711889752502</v>
      </c>
      <c r="R16">
        <v>2.65625</v>
      </c>
      <c r="S16" s="6">
        <f t="shared" si="3"/>
        <v>-3.0174615629618984E-4</v>
      </c>
      <c r="T16" s="3">
        <f t="shared" si="4"/>
        <v>0</v>
      </c>
      <c r="V16" s="5">
        <v>954.80711889752502</v>
      </c>
      <c r="W16">
        <v>4.765625</v>
      </c>
      <c r="X16" s="6">
        <f t="shared" si="5"/>
        <v>-3.0174615629618984E-4</v>
      </c>
      <c r="Y16" s="3">
        <f t="shared" si="6"/>
        <v>0</v>
      </c>
      <c r="AA16" s="5">
        <v>954.80711889752502</v>
      </c>
      <c r="AB16">
        <v>6.46875</v>
      </c>
      <c r="AC16" s="6">
        <f t="shared" si="7"/>
        <v>-3.0174615629618984E-4</v>
      </c>
      <c r="AD16" s="3">
        <f t="shared" si="8"/>
        <v>0</v>
      </c>
    </row>
    <row r="17" spans="1:30" ht="15.75" thickBot="1" x14ac:dyDescent="0.3">
      <c r="A17" s="2" t="s">
        <v>31</v>
      </c>
      <c r="B17">
        <v>2</v>
      </c>
      <c r="C17">
        <v>38</v>
      </c>
      <c r="D17">
        <v>4</v>
      </c>
      <c r="E17">
        <v>30</v>
      </c>
      <c r="G17">
        <v>1862.63</v>
      </c>
      <c r="I17">
        <v>1899.885733385785</v>
      </c>
      <c r="J17" s="3">
        <f t="shared" si="2"/>
        <v>2.0001682237365941</v>
      </c>
      <c r="K17" s="3"/>
      <c r="L17" s="5">
        <v>1899.885733385785</v>
      </c>
      <c r="M17">
        <v>1.15625</v>
      </c>
      <c r="N17" s="7">
        <f t="shared" si="0"/>
        <v>2.0001682237365941</v>
      </c>
      <c r="O17" s="8">
        <f t="shared" si="1"/>
        <v>0</v>
      </c>
      <c r="Q17" s="5">
        <v>1899.885733385785</v>
      </c>
      <c r="R17">
        <v>2.40625</v>
      </c>
      <c r="S17" s="6">
        <f t="shared" si="3"/>
        <v>2.0001682237365941</v>
      </c>
      <c r="T17" s="3">
        <f t="shared" si="4"/>
        <v>0</v>
      </c>
      <c r="V17" s="5">
        <v>1899.885733385785</v>
      </c>
      <c r="W17">
        <v>4.234375</v>
      </c>
      <c r="X17" s="6">
        <f t="shared" si="5"/>
        <v>2.0001682237365941</v>
      </c>
      <c r="Y17" s="3">
        <f t="shared" si="6"/>
        <v>0</v>
      </c>
      <c r="AA17" s="5">
        <v>1899.885733385785</v>
      </c>
      <c r="AB17">
        <v>5.828125</v>
      </c>
      <c r="AC17" s="6">
        <f t="shared" si="7"/>
        <v>2.0001682237365941</v>
      </c>
      <c r="AD17" s="3">
        <f t="shared" si="8"/>
        <v>0</v>
      </c>
    </row>
    <row r="18" spans="1:30" ht="15.75" thickBot="1" x14ac:dyDescent="0.3">
      <c r="A18" s="2" t="s">
        <v>32</v>
      </c>
      <c r="B18">
        <v>2</v>
      </c>
      <c r="C18">
        <v>56</v>
      </c>
      <c r="D18">
        <v>4</v>
      </c>
      <c r="E18">
        <v>40</v>
      </c>
      <c r="G18">
        <v>2875.24</v>
      </c>
      <c r="I18">
        <v>3201.1465251106042</v>
      </c>
      <c r="J18" s="3">
        <f t="shared" si="2"/>
        <v>11.334932913795171</v>
      </c>
      <c r="K18" s="3"/>
      <c r="L18" s="5">
        <v>3179.0510337214159</v>
      </c>
      <c r="M18">
        <v>2.34375</v>
      </c>
      <c r="N18" s="6">
        <f t="shared" si="0"/>
        <v>10.566458233796695</v>
      </c>
      <c r="O18" s="3">
        <f t="shared" si="1"/>
        <v>0.76847467999847652</v>
      </c>
      <c r="Q18" s="5">
        <v>3179.0510337214159</v>
      </c>
      <c r="R18">
        <v>4.875</v>
      </c>
      <c r="S18" s="6">
        <f t="shared" si="3"/>
        <v>10.566458233796695</v>
      </c>
      <c r="T18" s="3">
        <f t="shared" si="4"/>
        <v>0</v>
      </c>
      <c r="V18" s="5">
        <v>3179.0510337214159</v>
      </c>
      <c r="W18">
        <v>7.9375</v>
      </c>
      <c r="X18" s="6">
        <f t="shared" si="5"/>
        <v>10.566458233796695</v>
      </c>
      <c r="Y18" s="3">
        <f t="shared" si="6"/>
        <v>0</v>
      </c>
      <c r="AA18" s="5">
        <v>3179.0510337214159</v>
      </c>
      <c r="AB18">
        <v>10.5625</v>
      </c>
      <c r="AC18" s="6">
        <f t="shared" si="7"/>
        <v>10.566458233796695</v>
      </c>
      <c r="AD18" s="3">
        <f t="shared" si="8"/>
        <v>0</v>
      </c>
    </row>
    <row r="19" spans="1:30" ht="15.75" thickBot="1" x14ac:dyDescent="0.3">
      <c r="A19" s="2" t="s">
        <v>33</v>
      </c>
      <c r="B19">
        <v>4</v>
      </c>
      <c r="C19">
        <v>40</v>
      </c>
      <c r="D19">
        <v>4</v>
      </c>
      <c r="E19">
        <v>20</v>
      </c>
      <c r="G19">
        <v>1597.75</v>
      </c>
      <c r="I19">
        <v>1703.872161915519</v>
      </c>
      <c r="J19" s="3">
        <f t="shared" si="2"/>
        <v>6.6419753976228577</v>
      </c>
      <c r="K19" s="3"/>
      <c r="L19" s="5">
        <v>1703.872161915519</v>
      </c>
      <c r="M19">
        <v>1.46875</v>
      </c>
      <c r="N19" s="6">
        <f t="shared" si="0"/>
        <v>6.6419753976228577</v>
      </c>
      <c r="O19" s="8">
        <f t="shared" si="1"/>
        <v>0</v>
      </c>
      <c r="Q19" s="5">
        <v>1703.872161915519</v>
      </c>
      <c r="R19">
        <v>3.390625</v>
      </c>
      <c r="S19" s="6">
        <f t="shared" si="3"/>
        <v>6.6419753976228577</v>
      </c>
      <c r="T19" s="3">
        <f t="shared" si="4"/>
        <v>0</v>
      </c>
      <c r="V19" s="5">
        <v>1703.872161915519</v>
      </c>
      <c r="W19">
        <v>5.4375</v>
      </c>
      <c r="X19" s="6">
        <f t="shared" si="5"/>
        <v>6.6419753976228577</v>
      </c>
      <c r="Y19" s="3">
        <f t="shared" si="6"/>
        <v>0</v>
      </c>
      <c r="AA19" s="5">
        <v>1703.872161915519</v>
      </c>
      <c r="AB19">
        <v>6.890625</v>
      </c>
      <c r="AC19" s="6">
        <f t="shared" si="7"/>
        <v>6.6419753976228577</v>
      </c>
      <c r="AD19" s="3">
        <f t="shared" si="8"/>
        <v>0</v>
      </c>
    </row>
    <row r="20" spans="1:30" ht="15.75" thickBot="1" x14ac:dyDescent="0.3">
      <c r="A20" s="2" t="s">
        <v>34</v>
      </c>
      <c r="B20">
        <v>4</v>
      </c>
      <c r="C20">
        <v>76</v>
      </c>
      <c r="D20">
        <v>4</v>
      </c>
      <c r="E20">
        <v>30</v>
      </c>
      <c r="G20">
        <v>3147.24</v>
      </c>
      <c r="I20">
        <v>3217.167440359513</v>
      </c>
      <c r="J20" s="3">
        <f t="shared" si="2"/>
        <v>2.2218655189789445</v>
      </c>
      <c r="K20" s="3"/>
      <c r="L20" s="5">
        <v>3217.167440359513</v>
      </c>
      <c r="M20">
        <v>1.578125</v>
      </c>
      <c r="N20" s="7">
        <f t="shared" si="0"/>
        <v>2.2218655189789445</v>
      </c>
      <c r="O20" s="8">
        <f t="shared" si="1"/>
        <v>0</v>
      </c>
      <c r="Q20" s="5">
        <v>3217.167440359513</v>
      </c>
      <c r="R20">
        <v>3.109375</v>
      </c>
      <c r="S20" s="6">
        <f t="shared" si="3"/>
        <v>2.2218655189789445</v>
      </c>
      <c r="T20" s="3">
        <f t="shared" si="4"/>
        <v>0</v>
      </c>
      <c r="V20" s="5">
        <v>3217.167440359513</v>
      </c>
      <c r="W20">
        <v>4.9375</v>
      </c>
      <c r="X20" s="6">
        <f t="shared" si="5"/>
        <v>2.2218655189789445</v>
      </c>
      <c r="Y20" s="3">
        <f t="shared" si="6"/>
        <v>0</v>
      </c>
      <c r="AA20" s="5">
        <v>3217.167440359513</v>
      </c>
      <c r="AB20">
        <v>5.984375</v>
      </c>
      <c r="AC20" s="6">
        <f t="shared" si="7"/>
        <v>2.2218655189789445</v>
      </c>
      <c r="AD20" s="3">
        <f t="shared" si="8"/>
        <v>0</v>
      </c>
    </row>
    <row r="21" spans="1:30" ht="15.75" thickBot="1" x14ac:dyDescent="0.3">
      <c r="A21" s="2" t="s">
        <v>35</v>
      </c>
      <c r="B21">
        <v>4</v>
      </c>
      <c r="C21">
        <v>112</v>
      </c>
      <c r="D21">
        <v>4</v>
      </c>
      <c r="E21">
        <v>40</v>
      </c>
      <c r="G21">
        <v>4834.34</v>
      </c>
      <c r="I21">
        <v>4855.7678865271791</v>
      </c>
      <c r="J21" s="3">
        <f t="shared" si="2"/>
        <v>0.44324326644751011</v>
      </c>
      <c r="K21" s="3"/>
      <c r="L21" s="5">
        <v>4855.7678865271791</v>
      </c>
      <c r="M21">
        <v>2.484375</v>
      </c>
      <c r="N21" s="7">
        <f t="shared" si="0"/>
        <v>0.44324326644751011</v>
      </c>
      <c r="O21" s="8">
        <f t="shared" si="1"/>
        <v>0</v>
      </c>
      <c r="Q21" s="5">
        <v>4855.7678865271791</v>
      </c>
      <c r="R21">
        <v>4.34375</v>
      </c>
      <c r="S21" s="6">
        <f t="shared" si="3"/>
        <v>0.44324326644751011</v>
      </c>
      <c r="T21" s="3">
        <f t="shared" si="4"/>
        <v>0</v>
      </c>
      <c r="V21" s="5">
        <v>4855.7678865271791</v>
      </c>
      <c r="W21">
        <v>6.375</v>
      </c>
      <c r="X21" s="6">
        <f t="shared" si="5"/>
        <v>0.44324326644751011</v>
      </c>
      <c r="Y21" s="3">
        <f t="shared" si="6"/>
        <v>0</v>
      </c>
      <c r="AA21" s="5">
        <v>4855.7678865271791</v>
      </c>
      <c r="AB21">
        <v>7.984375</v>
      </c>
      <c r="AC21" s="6">
        <f t="shared" si="7"/>
        <v>0.44324326644751011</v>
      </c>
      <c r="AD21" s="3">
        <f t="shared" si="8"/>
        <v>0</v>
      </c>
    </row>
    <row r="22" spans="1:30" ht="15.75" thickBot="1" x14ac:dyDescent="0.3">
      <c r="A22" s="2" t="s">
        <v>36</v>
      </c>
      <c r="B22">
        <v>4</v>
      </c>
      <c r="C22">
        <v>184</v>
      </c>
      <c r="D22">
        <v>4</v>
      </c>
      <c r="E22">
        <v>60</v>
      </c>
      <c r="G22">
        <v>8367.4</v>
      </c>
      <c r="I22">
        <v>9441.6174868667931</v>
      </c>
      <c r="J22" s="3">
        <f t="shared" si="2"/>
        <v>12.838127576867279</v>
      </c>
      <c r="K22" s="3"/>
      <c r="L22" s="5">
        <v>9441.6174868667931</v>
      </c>
      <c r="M22">
        <v>5.359375</v>
      </c>
      <c r="N22" s="6">
        <f t="shared" si="0"/>
        <v>12.838127576867279</v>
      </c>
      <c r="O22" s="8">
        <f t="shared" si="1"/>
        <v>0</v>
      </c>
      <c r="Q22" s="5">
        <v>9441.6174868667931</v>
      </c>
      <c r="R22">
        <v>8.46875</v>
      </c>
      <c r="S22" s="6">
        <f t="shared" si="3"/>
        <v>12.838127576867279</v>
      </c>
      <c r="T22" s="3">
        <f t="shared" si="4"/>
        <v>0</v>
      </c>
      <c r="V22" s="5">
        <v>9441.6174868667931</v>
      </c>
      <c r="W22">
        <v>11.765625</v>
      </c>
      <c r="X22" s="6">
        <f t="shared" si="5"/>
        <v>12.838127576867279</v>
      </c>
      <c r="Y22" s="3">
        <f t="shared" si="6"/>
        <v>0</v>
      </c>
      <c r="AA22" s="5">
        <v>9441.6174868667931</v>
      </c>
      <c r="AB22">
        <v>12.984375</v>
      </c>
      <c r="AC22" s="6">
        <f t="shared" si="7"/>
        <v>12.838127576867279</v>
      </c>
      <c r="AD22" s="3">
        <f t="shared" si="8"/>
        <v>0</v>
      </c>
    </row>
    <row r="23" spans="1:30" ht="15.75" thickBot="1" x14ac:dyDescent="0.3">
      <c r="A23" s="2" t="s">
        <v>37</v>
      </c>
      <c r="B23">
        <v>6</v>
      </c>
      <c r="C23">
        <v>60</v>
      </c>
      <c r="D23">
        <v>4</v>
      </c>
      <c r="E23">
        <v>20</v>
      </c>
      <c r="G23">
        <v>2184.04</v>
      </c>
      <c r="I23">
        <v>2476.4553897065998</v>
      </c>
      <c r="J23" s="3">
        <f t="shared" si="2"/>
        <v>13.38873783019541</v>
      </c>
      <c r="K23" s="3"/>
      <c r="L23" s="5">
        <v>2476.4553897065998</v>
      </c>
      <c r="M23">
        <v>2.046875</v>
      </c>
      <c r="N23" s="6">
        <f t="shared" si="0"/>
        <v>13.38873783019541</v>
      </c>
      <c r="O23" s="8">
        <f t="shared" si="1"/>
        <v>0</v>
      </c>
      <c r="Q23" s="5">
        <v>2476.4553897065998</v>
      </c>
      <c r="R23">
        <v>4.359375</v>
      </c>
      <c r="S23" s="6">
        <f t="shared" si="3"/>
        <v>13.38873783019541</v>
      </c>
      <c r="T23" s="3">
        <f t="shared" si="4"/>
        <v>0</v>
      </c>
      <c r="V23" s="5">
        <v>2476.4553897065998</v>
      </c>
      <c r="W23">
        <v>7.625</v>
      </c>
      <c r="X23" s="6">
        <f t="shared" si="5"/>
        <v>13.38873783019541</v>
      </c>
      <c r="Y23" s="3">
        <f t="shared" si="6"/>
        <v>0</v>
      </c>
      <c r="AA23" s="5">
        <v>2476.4553897065998</v>
      </c>
      <c r="AB23">
        <v>9.53125</v>
      </c>
      <c r="AC23" s="6">
        <f t="shared" si="7"/>
        <v>13.38873783019541</v>
      </c>
      <c r="AD23" s="3">
        <f t="shared" si="8"/>
        <v>0</v>
      </c>
    </row>
    <row r="24" spans="1:30" ht="15.75" thickBot="1" x14ac:dyDescent="0.3">
      <c r="A24" s="2" t="s">
        <v>38</v>
      </c>
      <c r="B24">
        <v>6</v>
      </c>
      <c r="C24">
        <v>114</v>
      </c>
      <c r="D24">
        <v>4</v>
      </c>
      <c r="E24">
        <v>30</v>
      </c>
      <c r="G24">
        <v>4271.1099999999997</v>
      </c>
      <c r="I24">
        <v>4608.9469410204683</v>
      </c>
      <c r="J24" s="3">
        <f t="shared" si="2"/>
        <v>7.9098159733762117</v>
      </c>
      <c r="K24" s="3"/>
      <c r="L24" s="5">
        <v>4608.9469410204683</v>
      </c>
      <c r="M24">
        <v>2.703125</v>
      </c>
      <c r="N24" s="6">
        <f t="shared" si="0"/>
        <v>7.9098159733762117</v>
      </c>
      <c r="O24" s="8">
        <f t="shared" si="1"/>
        <v>0</v>
      </c>
      <c r="Q24" s="5">
        <v>4608.9469410204683</v>
      </c>
      <c r="R24">
        <v>4.875</v>
      </c>
      <c r="S24" s="6">
        <f t="shared" si="3"/>
        <v>7.9098159733762117</v>
      </c>
      <c r="T24" s="3">
        <f t="shared" si="4"/>
        <v>0</v>
      </c>
      <c r="V24" s="5">
        <v>4608.9469410204683</v>
      </c>
      <c r="W24">
        <v>8.125</v>
      </c>
      <c r="X24" s="6">
        <f t="shared" si="5"/>
        <v>7.9098159733762117</v>
      </c>
      <c r="Y24" s="3">
        <f t="shared" si="6"/>
        <v>0</v>
      </c>
      <c r="AA24" s="5">
        <v>4608.9469410204683</v>
      </c>
      <c r="AB24">
        <v>9.53125</v>
      </c>
      <c r="AC24" s="6">
        <f t="shared" si="7"/>
        <v>7.9098159733762117</v>
      </c>
      <c r="AD24" s="3">
        <f t="shared" si="8"/>
        <v>0</v>
      </c>
    </row>
    <row r="25" spans="1:30" ht="15.75" thickBot="1" x14ac:dyDescent="0.3">
      <c r="A25" s="2" t="s">
        <v>39</v>
      </c>
      <c r="B25">
        <v>6</v>
      </c>
      <c r="C25">
        <v>168</v>
      </c>
      <c r="D25">
        <v>4</v>
      </c>
      <c r="E25">
        <v>40</v>
      </c>
      <c r="G25">
        <v>6602.59</v>
      </c>
      <c r="I25">
        <v>6836.8705930980686</v>
      </c>
      <c r="J25" s="3">
        <f t="shared" si="2"/>
        <v>3.5483135117896012</v>
      </c>
      <c r="K25" s="3"/>
      <c r="L25" s="5">
        <v>6836.8705930980686</v>
      </c>
      <c r="M25">
        <v>4.4375</v>
      </c>
      <c r="N25" s="7">
        <f t="shared" si="0"/>
        <v>3.5483135117896012</v>
      </c>
      <c r="O25" s="8">
        <f t="shared" si="1"/>
        <v>0</v>
      </c>
      <c r="Q25" s="5">
        <v>6836.8705930980686</v>
      </c>
      <c r="R25">
        <v>6.484375</v>
      </c>
      <c r="S25" s="6">
        <f t="shared" si="3"/>
        <v>3.5483135117896012</v>
      </c>
      <c r="T25" s="3">
        <f t="shared" si="4"/>
        <v>0</v>
      </c>
      <c r="V25" s="5">
        <v>6836.8705930980686</v>
      </c>
      <c r="W25">
        <v>9.203125</v>
      </c>
      <c r="X25" s="6">
        <f t="shared" si="5"/>
        <v>3.5483135117896012</v>
      </c>
      <c r="Y25" s="3">
        <f t="shared" si="6"/>
        <v>0</v>
      </c>
      <c r="AA25" s="5">
        <v>6836.8705930980686</v>
      </c>
      <c r="AB25">
        <v>10.515625</v>
      </c>
      <c r="AC25" s="6">
        <f t="shared" si="7"/>
        <v>3.5483135117896012</v>
      </c>
      <c r="AD25" s="3">
        <f t="shared" si="8"/>
        <v>0</v>
      </c>
    </row>
    <row r="26" spans="1:30" x14ac:dyDescent="0.25">
      <c r="A26" s="2" t="s">
        <v>40</v>
      </c>
      <c r="B26">
        <v>3</v>
      </c>
      <c r="C26">
        <v>51</v>
      </c>
      <c r="D26">
        <v>6</v>
      </c>
      <c r="E26">
        <v>20</v>
      </c>
      <c r="G26">
        <v>3687.46</v>
      </c>
      <c r="I26">
        <v>5108.7119591551709</v>
      </c>
      <c r="J26" s="3">
        <f t="shared" si="2"/>
        <v>38.542844102855923</v>
      </c>
      <c r="K26" s="3"/>
      <c r="L26" s="5">
        <v>4433.5512234255484</v>
      </c>
      <c r="M26">
        <v>22.75</v>
      </c>
      <c r="N26" s="6">
        <f t="shared" si="0"/>
        <v>20.233201808983651</v>
      </c>
      <c r="O26" s="3">
        <f t="shared" si="1"/>
        <v>18.309642293872272</v>
      </c>
      <c r="Q26" s="5">
        <v>4359.0199942098761</v>
      </c>
      <c r="R26">
        <v>60.21875</v>
      </c>
      <c r="S26" s="6">
        <f t="shared" si="3"/>
        <v>18.211994006982479</v>
      </c>
      <c r="T26" s="3">
        <f t="shared" si="4"/>
        <v>2.0212078020011717</v>
      </c>
      <c r="V26" s="5">
        <v>4359.0199942098761</v>
      </c>
      <c r="W26">
        <v>88.1875</v>
      </c>
      <c r="X26" s="6">
        <f t="shared" si="5"/>
        <v>18.211994006982479</v>
      </c>
      <c r="Y26" s="3">
        <f t="shared" si="6"/>
        <v>0</v>
      </c>
      <c r="AA26" s="5">
        <v>4351.6996370629276</v>
      </c>
      <c r="AB26">
        <v>132.34375</v>
      </c>
      <c r="AC26" s="6">
        <f t="shared" si="7"/>
        <v>18.013473693624547</v>
      </c>
      <c r="AD26" s="3">
        <f t="shared" si="8"/>
        <v>0.19852031335793185</v>
      </c>
    </row>
    <row r="27" spans="1:30" x14ac:dyDescent="0.25">
      <c r="A27" s="2" t="s">
        <v>41</v>
      </c>
      <c r="B27">
        <v>3</v>
      </c>
      <c r="C27">
        <v>51</v>
      </c>
      <c r="D27">
        <v>6</v>
      </c>
      <c r="E27">
        <v>20</v>
      </c>
      <c r="G27">
        <v>3777.15</v>
      </c>
      <c r="I27">
        <v>5108.7119591551709</v>
      </c>
      <c r="J27" s="3">
        <f t="shared" si="2"/>
        <v>35.253086564080604</v>
      </c>
      <c r="K27" s="3"/>
      <c r="L27" s="5">
        <v>4433.5512234255484</v>
      </c>
      <c r="M27">
        <v>22.859375</v>
      </c>
      <c r="N27" s="6">
        <f t="shared" si="0"/>
        <v>17.378214352767259</v>
      </c>
      <c r="O27" s="3">
        <f t="shared" si="1"/>
        <v>17.874872211313345</v>
      </c>
      <c r="Q27" s="5">
        <v>4359.0199942098761</v>
      </c>
      <c r="R27">
        <v>60.4375</v>
      </c>
      <c r="S27" s="6">
        <f t="shared" si="3"/>
        <v>15.405000971893514</v>
      </c>
      <c r="T27" s="3">
        <f t="shared" si="4"/>
        <v>1.9732133808737444</v>
      </c>
      <c r="V27" s="5">
        <v>4357.3246103154706</v>
      </c>
      <c r="W27">
        <v>101.25</v>
      </c>
      <c r="X27" s="6">
        <f t="shared" si="5"/>
        <v>15.360115704048567</v>
      </c>
      <c r="Y27" s="3">
        <f t="shared" si="6"/>
        <v>4.4885267844946952E-2</v>
      </c>
      <c r="AA27" s="5">
        <v>4366.5898539094696</v>
      </c>
      <c r="AB27">
        <v>113.6875</v>
      </c>
      <c r="AC27" s="6">
        <f t="shared" si="7"/>
        <v>15.605412914749735</v>
      </c>
      <c r="AD27" s="3">
        <f t="shared" si="8"/>
        <v>-0.2452972107011675</v>
      </c>
    </row>
    <row r="28" spans="1:30" x14ac:dyDescent="0.25">
      <c r="A28" s="2" t="s">
        <v>42</v>
      </c>
      <c r="B28">
        <v>3</v>
      </c>
      <c r="C28">
        <v>51</v>
      </c>
      <c r="D28">
        <v>6</v>
      </c>
      <c r="E28">
        <v>20</v>
      </c>
      <c r="G28">
        <v>3795.33</v>
      </c>
      <c r="I28">
        <v>5095.5001427590814</v>
      </c>
      <c r="J28" s="3">
        <f t="shared" si="2"/>
        <v>34.257103934548013</v>
      </c>
      <c r="K28" s="3"/>
      <c r="L28" s="5">
        <v>4472.4631330041657</v>
      </c>
      <c r="M28">
        <v>19.4375</v>
      </c>
      <c r="N28" s="6">
        <f t="shared" si="0"/>
        <v>17.841218892801564</v>
      </c>
      <c r="O28" s="3">
        <f t="shared" si="1"/>
        <v>16.415885041746449</v>
      </c>
      <c r="Q28" s="5">
        <v>4430.2496809194881</v>
      </c>
      <c r="R28">
        <v>44.203125</v>
      </c>
      <c r="S28" s="6">
        <f t="shared" si="3"/>
        <v>16.728971681500383</v>
      </c>
      <c r="T28" s="3">
        <f t="shared" si="4"/>
        <v>1.112247211301181</v>
      </c>
      <c r="V28" s="5">
        <v>4460.9124962266033</v>
      </c>
      <c r="W28">
        <v>91</v>
      </c>
      <c r="X28" s="6">
        <f t="shared" si="5"/>
        <v>17.53688075151841</v>
      </c>
      <c r="Y28" s="3">
        <f t="shared" si="6"/>
        <v>-0.80790907001802736</v>
      </c>
      <c r="AA28" s="5">
        <v>4361.2928744490191</v>
      </c>
      <c r="AB28">
        <v>124.875</v>
      </c>
      <c r="AC28" s="6">
        <f t="shared" si="7"/>
        <v>14.912086022796942</v>
      </c>
      <c r="AD28" s="3">
        <f t="shared" si="8"/>
        <v>2.6247947287214686</v>
      </c>
    </row>
    <row r="29" spans="1:30" x14ac:dyDescent="0.25">
      <c r="A29" s="2" t="s">
        <v>43</v>
      </c>
      <c r="B29">
        <v>6</v>
      </c>
      <c r="C29">
        <v>102</v>
      </c>
      <c r="D29">
        <v>6</v>
      </c>
      <c r="E29">
        <v>20</v>
      </c>
      <c r="G29">
        <v>21956.46</v>
      </c>
      <c r="I29">
        <v>33794.612677890836</v>
      </c>
      <c r="J29" s="3">
        <f t="shared" si="2"/>
        <v>53.916490535773249</v>
      </c>
      <c r="K29" s="3"/>
      <c r="L29" s="5">
        <v>29171.897845536791</v>
      </c>
      <c r="M29">
        <v>164.34375</v>
      </c>
      <c r="N29" s="6">
        <f t="shared" si="0"/>
        <v>32.86248259298992</v>
      </c>
      <c r="O29" s="3">
        <f t="shared" si="1"/>
        <v>21.054007942783329</v>
      </c>
      <c r="Q29" s="5">
        <v>29031.51552242758</v>
      </c>
      <c r="R29">
        <v>269.078125</v>
      </c>
      <c r="S29" s="6">
        <f t="shared" si="3"/>
        <v>32.223115759223418</v>
      </c>
      <c r="T29" s="3">
        <f t="shared" si="4"/>
        <v>0.63936683376650194</v>
      </c>
      <c r="V29" s="5">
        <v>29173.194027599049</v>
      </c>
      <c r="W29">
        <v>623.21875</v>
      </c>
      <c r="X29" s="6">
        <f t="shared" si="5"/>
        <v>32.868386013041487</v>
      </c>
      <c r="Y29" s="3">
        <f t="shared" si="6"/>
        <v>-0.6452702538180688</v>
      </c>
      <c r="AA29" s="5">
        <v>27916.90684533845</v>
      </c>
      <c r="AB29">
        <v>857.015625</v>
      </c>
      <c r="AC29" s="6">
        <f t="shared" si="7"/>
        <v>27.146665925829808</v>
      </c>
      <c r="AD29" s="3">
        <f t="shared" si="8"/>
        <v>5.7217200872116791</v>
      </c>
    </row>
    <row r="30" spans="1:30" x14ac:dyDescent="0.25">
      <c r="A30" s="2" t="s">
        <v>44</v>
      </c>
      <c r="B30">
        <v>6</v>
      </c>
      <c r="C30">
        <v>102</v>
      </c>
      <c r="D30">
        <v>6</v>
      </c>
      <c r="E30">
        <v>20</v>
      </c>
      <c r="G30">
        <v>22934.71</v>
      </c>
      <c r="I30">
        <v>33794.612677890836</v>
      </c>
      <c r="J30" s="3">
        <f t="shared" si="2"/>
        <v>47.351384333574913</v>
      </c>
      <c r="K30" s="3"/>
      <c r="L30" s="5">
        <v>29835.703748496278</v>
      </c>
      <c r="M30">
        <v>177.96875</v>
      </c>
      <c r="N30" s="6">
        <f t="shared" si="0"/>
        <v>30.089736249101378</v>
      </c>
      <c r="O30" s="3">
        <f t="shared" si="1"/>
        <v>17.261648084473535</v>
      </c>
      <c r="Q30" s="5">
        <v>29573.104015644461</v>
      </c>
      <c r="R30">
        <v>258.15625</v>
      </c>
      <c r="S30" s="6">
        <f t="shared" si="3"/>
        <v>28.944748007035912</v>
      </c>
      <c r="T30" s="3">
        <f t="shared" si="4"/>
        <v>1.144988242065466</v>
      </c>
      <c r="V30" s="5">
        <v>28222.941323107108</v>
      </c>
      <c r="W30">
        <v>598.890625</v>
      </c>
      <c r="X30" s="6">
        <f t="shared" si="5"/>
        <v>23.057764075094511</v>
      </c>
      <c r="Y30" s="3">
        <f t="shared" si="6"/>
        <v>5.8869839319414012</v>
      </c>
      <c r="AA30" s="5">
        <v>28577.123524401501</v>
      </c>
      <c r="AB30">
        <v>917.6875</v>
      </c>
      <c r="AC30" s="6">
        <f t="shared" si="7"/>
        <v>24.602070505367195</v>
      </c>
      <c r="AD30" s="3">
        <f t="shared" si="8"/>
        <v>-1.5443064302726839</v>
      </c>
    </row>
    <row r="31" spans="1:30" x14ac:dyDescent="0.25">
      <c r="A31" s="2" t="s">
        <v>45</v>
      </c>
      <c r="B31">
        <v>6</v>
      </c>
      <c r="C31">
        <v>102</v>
      </c>
      <c r="D31">
        <v>6</v>
      </c>
      <c r="E31">
        <v>20</v>
      </c>
      <c r="G31">
        <v>22909.360000000001</v>
      </c>
      <c r="I31">
        <v>34142.254083445099</v>
      </c>
      <c r="J31" s="3">
        <f t="shared" si="2"/>
        <v>49.031898243534954</v>
      </c>
      <c r="K31" s="3"/>
      <c r="L31" s="5">
        <v>30686.209708643979</v>
      </c>
      <c r="M31">
        <v>181.125</v>
      </c>
      <c r="N31" s="6">
        <f t="shared" si="0"/>
        <v>33.946167455764709</v>
      </c>
      <c r="O31" s="3">
        <f t="shared" si="1"/>
        <v>15.085730787770245</v>
      </c>
      <c r="Q31" s="5">
        <v>29796.684656668509</v>
      </c>
      <c r="R31">
        <v>421.15625</v>
      </c>
      <c r="S31" s="6">
        <f t="shared" si="3"/>
        <v>30.063365614179133</v>
      </c>
      <c r="T31" s="3">
        <f t="shared" si="4"/>
        <v>3.8828018415855752</v>
      </c>
      <c r="V31" s="5">
        <v>29568.401911469911</v>
      </c>
      <c r="W31">
        <v>697.90625</v>
      </c>
      <c r="X31" s="6">
        <f t="shared" si="5"/>
        <v>29.066905018166864</v>
      </c>
      <c r="Y31" s="3">
        <f t="shared" si="6"/>
        <v>0.99646059601226966</v>
      </c>
      <c r="AA31" s="5">
        <v>29650.47309950606</v>
      </c>
      <c r="AB31">
        <v>831.34375</v>
      </c>
      <c r="AC31" s="6">
        <f t="shared" si="7"/>
        <v>29.425148059596864</v>
      </c>
      <c r="AD31" s="3">
        <f t="shared" si="8"/>
        <v>-0.35824304143000063</v>
      </c>
    </row>
    <row r="32" spans="1:30" x14ac:dyDescent="0.25">
      <c r="A32" s="2" t="s">
        <v>46</v>
      </c>
      <c r="B32">
        <v>9</v>
      </c>
      <c r="C32">
        <v>153</v>
      </c>
      <c r="D32">
        <v>6</v>
      </c>
      <c r="E32">
        <v>20</v>
      </c>
      <c r="G32">
        <v>75016.58</v>
      </c>
      <c r="I32">
        <v>125606.574243333</v>
      </c>
      <c r="J32" s="3">
        <f t="shared" si="2"/>
        <v>67.438417271665799</v>
      </c>
      <c r="K32" s="3"/>
      <c r="L32" s="5">
        <v>104605.1556166919</v>
      </c>
      <c r="M32">
        <v>1049.765625</v>
      </c>
      <c r="N32" s="6">
        <f t="shared" si="0"/>
        <v>39.44271468612925</v>
      </c>
      <c r="O32" s="3">
        <f t="shared" si="1"/>
        <v>27.995702585536549</v>
      </c>
      <c r="Q32" s="5">
        <v>99820.059557291795</v>
      </c>
      <c r="R32">
        <v>2697.03125</v>
      </c>
      <c r="S32" s="6">
        <f t="shared" si="3"/>
        <v>33.063996728845524</v>
      </c>
      <c r="T32" s="3">
        <f t="shared" si="4"/>
        <v>6.378717957283726</v>
      </c>
      <c r="V32" s="5">
        <v>105638.9460886848</v>
      </c>
      <c r="W32">
        <v>4013.90625</v>
      </c>
      <c r="X32" s="6">
        <f t="shared" si="5"/>
        <v>40.820797333982426</v>
      </c>
      <c r="Y32" s="3">
        <f t="shared" si="6"/>
        <v>-7.7568006051369025</v>
      </c>
      <c r="AA32" s="5">
        <v>97228.168092197084</v>
      </c>
      <c r="AB32">
        <v>5718.796875</v>
      </c>
      <c r="AC32" s="6">
        <f t="shared" si="7"/>
        <v>29.608905247609385</v>
      </c>
      <c r="AD32" s="3">
        <f t="shared" si="8"/>
        <v>11.211892086373041</v>
      </c>
    </row>
    <row r="33" spans="1:30" x14ac:dyDescent="0.25">
      <c r="A33" s="2" t="s">
        <v>47</v>
      </c>
      <c r="B33">
        <v>9</v>
      </c>
      <c r="C33">
        <v>153</v>
      </c>
      <c r="D33">
        <v>6</v>
      </c>
      <c r="E33">
        <v>20</v>
      </c>
      <c r="G33">
        <v>78179.89</v>
      </c>
      <c r="I33">
        <v>127635.67882667739</v>
      </c>
      <c r="J33" s="3">
        <f t="shared" si="2"/>
        <v>63.258964455792125</v>
      </c>
      <c r="K33" s="3"/>
      <c r="L33" s="5">
        <v>102434.0655737356</v>
      </c>
      <c r="M33">
        <v>1309.890625</v>
      </c>
      <c r="N33" s="6">
        <f t="shared" si="0"/>
        <v>31.02354783785907</v>
      </c>
      <c r="O33" s="3">
        <f t="shared" si="1"/>
        <v>32.235416617933055</v>
      </c>
      <c r="Q33" s="5">
        <v>105734.17537642449</v>
      </c>
      <c r="R33">
        <v>1567.296875</v>
      </c>
      <c r="S33" s="6">
        <f t="shared" si="3"/>
        <v>35.244722621667137</v>
      </c>
      <c r="T33" s="3">
        <f t="shared" si="4"/>
        <v>-4.2211747838080669</v>
      </c>
      <c r="V33" s="5">
        <v>102544.036066917</v>
      </c>
      <c r="W33">
        <v>2375.03125</v>
      </c>
      <c r="X33" s="6">
        <f t="shared" si="5"/>
        <v>31.164211240150109</v>
      </c>
      <c r="Y33" s="3">
        <f t="shared" si="6"/>
        <v>4.0805113815170273</v>
      </c>
      <c r="AA33" s="5">
        <v>104937.2461017334</v>
      </c>
      <c r="AB33">
        <v>4086.9375</v>
      </c>
      <c r="AC33" s="6">
        <f t="shared" si="7"/>
        <v>34.225369339523752</v>
      </c>
      <c r="AD33" s="3">
        <f t="shared" si="8"/>
        <v>-3.0611580993736425</v>
      </c>
    </row>
    <row r="34" spans="1:30" x14ac:dyDescent="0.25">
      <c r="A34" s="2" t="s">
        <v>48</v>
      </c>
      <c r="B34">
        <v>9</v>
      </c>
      <c r="C34">
        <v>153</v>
      </c>
      <c r="D34">
        <v>6</v>
      </c>
      <c r="E34">
        <v>20</v>
      </c>
      <c r="G34">
        <v>80479.199999999997</v>
      </c>
      <c r="I34">
        <v>126353.9267526294</v>
      </c>
      <c r="J34" s="3">
        <f t="shared" si="2"/>
        <v>57.00196666049041</v>
      </c>
      <c r="K34" s="3"/>
      <c r="L34" s="5">
        <v>106085.6821163617</v>
      </c>
      <c r="M34">
        <v>702.390625</v>
      </c>
      <c r="N34" s="6">
        <f t="shared" si="0"/>
        <v>31.817515726251884</v>
      </c>
      <c r="O34" s="3">
        <f t="shared" si="1"/>
        <v>25.184450934238527</v>
      </c>
      <c r="Q34" s="5">
        <v>100816.2334861796</v>
      </c>
      <c r="R34">
        <v>4883.796875</v>
      </c>
      <c r="S34" s="6">
        <f t="shared" si="3"/>
        <v>25.269925006932979</v>
      </c>
      <c r="T34" s="3">
        <f t="shared" si="4"/>
        <v>6.5475907193189045</v>
      </c>
      <c r="V34" s="5">
        <v>103117.8241508794</v>
      </c>
      <c r="W34">
        <v>5358.4375</v>
      </c>
      <c r="X34" s="6">
        <f t="shared" si="5"/>
        <v>28.129782789689017</v>
      </c>
      <c r="Y34" s="3">
        <f t="shared" si="6"/>
        <v>-2.8598577827560376</v>
      </c>
      <c r="AA34" s="5">
        <v>100476.24348211809</v>
      </c>
      <c r="AB34">
        <v>5699.96875</v>
      </c>
      <c r="AC34" s="6">
        <f t="shared" si="7"/>
        <v>24.847468019212542</v>
      </c>
      <c r="AD34" s="3">
        <f t="shared" si="8"/>
        <v>3.282314770476475</v>
      </c>
    </row>
    <row r="36" spans="1:30" x14ac:dyDescent="0.25">
      <c r="J36" s="3">
        <f>SUM(J3:J34)/32</f>
        <v>33.879336864738725</v>
      </c>
      <c r="K36" s="3"/>
      <c r="N36" s="6">
        <f>SUM(N3:N34)/32</f>
        <v>20.636049902832532</v>
      </c>
      <c r="S36" s="6">
        <f>SUM(S3:S34)/32</f>
        <v>18.797779164296646</v>
      </c>
      <c r="X36" s="6">
        <f>SUM(X3:X34)/32</f>
        <v>18.822123938771689</v>
      </c>
      <c r="AC36" s="6">
        <f>SUM(AC3:AC34)/32</f>
        <v>18.484081534032448</v>
      </c>
    </row>
  </sheetData>
  <mergeCells count="4">
    <mergeCell ref="L1:O1"/>
    <mergeCell ref="Q1:T1"/>
    <mergeCell ref="V1:Y1"/>
    <mergeCell ref="AA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250</vt:lpstr>
      <vt:lpstr>500</vt:lpstr>
      <vt:lpstr>750</vt:lpstr>
      <vt:lpstr>1000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2025-06-30T09:15:23Z</dcterms:created>
  <dcterms:modified xsi:type="dcterms:W3CDTF">2025-07-02T09:03:33Z</dcterms:modified>
</cp:coreProperties>
</file>