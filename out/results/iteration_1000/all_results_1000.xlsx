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esercizio\script\out\results\results_1000\"/>
    </mc:Choice>
  </mc:AlternateContent>
  <xr:revisionPtr revIDLastSave="0" documentId="13_ncr:1_{B9EB381E-30A8-486D-A9AC-C09F60AAEB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  <c r="T33" i="1"/>
  <c r="V33" i="1" s="1"/>
  <c r="U32" i="1"/>
  <c r="T32" i="1"/>
  <c r="V32" i="1" s="1"/>
  <c r="U31" i="1"/>
  <c r="T31" i="1"/>
  <c r="V31" i="1" s="1"/>
  <c r="U30" i="1"/>
  <c r="T30" i="1"/>
  <c r="V30" i="1" s="1"/>
  <c r="U29" i="1"/>
  <c r="V29" i="1" s="1"/>
  <c r="T29" i="1"/>
  <c r="V28" i="1"/>
  <c r="U28" i="1"/>
  <c r="T28" i="1"/>
  <c r="U27" i="1"/>
  <c r="T27" i="1"/>
  <c r="V27" i="1" s="1"/>
  <c r="U26" i="1"/>
  <c r="T26" i="1"/>
  <c r="V26" i="1" s="1"/>
  <c r="U25" i="1"/>
  <c r="T25" i="1"/>
  <c r="V25" i="1" s="1"/>
  <c r="U24" i="1"/>
  <c r="T24" i="1"/>
  <c r="V24" i="1" s="1"/>
  <c r="U23" i="1"/>
  <c r="V23" i="1" s="1"/>
  <c r="T23" i="1"/>
  <c r="U22" i="1"/>
  <c r="T22" i="1"/>
  <c r="V22" i="1" s="1"/>
  <c r="U21" i="1"/>
  <c r="T21" i="1"/>
  <c r="V21" i="1" s="1"/>
  <c r="U20" i="1"/>
  <c r="T20" i="1"/>
  <c r="V20" i="1" s="1"/>
  <c r="U19" i="1"/>
  <c r="T19" i="1"/>
  <c r="V19" i="1" s="1"/>
  <c r="V18" i="1"/>
  <c r="U18" i="1"/>
  <c r="T18" i="1"/>
  <c r="U17" i="1"/>
  <c r="T17" i="1"/>
  <c r="V17" i="1" s="1"/>
  <c r="U16" i="1"/>
  <c r="T16" i="1"/>
  <c r="V16" i="1" s="1"/>
  <c r="U15" i="1"/>
  <c r="T15" i="1"/>
  <c r="V15" i="1" s="1"/>
  <c r="U14" i="1"/>
  <c r="T14" i="1"/>
  <c r="V14" i="1" s="1"/>
  <c r="U13" i="1"/>
  <c r="V13" i="1" s="1"/>
  <c r="T13" i="1"/>
  <c r="V12" i="1"/>
  <c r="U12" i="1"/>
  <c r="T12" i="1"/>
  <c r="U11" i="1"/>
  <c r="T11" i="1"/>
  <c r="V11" i="1" s="1"/>
  <c r="U10" i="1"/>
  <c r="T10" i="1"/>
  <c r="V10" i="1" s="1"/>
  <c r="U9" i="1"/>
  <c r="T9" i="1"/>
  <c r="V9" i="1" s="1"/>
  <c r="U8" i="1"/>
  <c r="T8" i="1"/>
  <c r="V8" i="1" s="1"/>
  <c r="U7" i="1"/>
  <c r="V7" i="1" s="1"/>
  <c r="T7" i="1"/>
  <c r="U6" i="1"/>
  <c r="T6" i="1"/>
  <c r="V6" i="1" s="1"/>
  <c r="U5" i="1"/>
  <c r="T5" i="1"/>
  <c r="V5" i="1" s="1"/>
  <c r="U4" i="1"/>
  <c r="T4" i="1"/>
  <c r="V4" i="1" s="1"/>
  <c r="U3" i="1"/>
  <c r="T3" i="1"/>
  <c r="V3" i="1" s="1"/>
  <c r="V2" i="1"/>
  <c r="U2" i="1"/>
  <c r="U35" i="1" s="1"/>
  <c r="T2" i="1"/>
  <c r="T35" i="1" s="1"/>
</calcChain>
</file>

<file path=xl/sharedStrings.xml><?xml version="1.0" encoding="utf-8"?>
<sst xmlns="http://schemas.openxmlformats.org/spreadsheetml/2006/main" count="53" uniqueCount="53">
  <si>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</si>
  <si>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</si>
  <si>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</si>
  <si>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</si>
  <si>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</si>
  <si>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</si>
  <si>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</si>
  <si>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</si>
  <si>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</si>
  <si>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</si>
  <si>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</si>
  <si>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</si>
  <si>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</si>
  <si>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</si>
  <si>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</si>
  <si>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</si>
  <si>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</si>
  <si>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</si>
  <si>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</si>
  <si>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</si>
  <si>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</si>
  <si>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</si>
  <si>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</si>
  <si>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</si>
  <si>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</si>
  <si>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</si>
  <si>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</si>
  <si>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</si>
  <si>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</si>
  <si>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</si>
  <si>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</si>
  <si>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</si>
  <si>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</si>
  <si>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</si>
  <si>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</si>
  <si>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</si>
  <si>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</si>
  <si>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</si>
  <si>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</si>
  <si>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</si>
  <si>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</si>
  <si>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</si>
  <si>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</si>
  <si>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</si>
  <si>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</si>
  <si>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</si>
  <si>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</si>
  <si>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</si>
  <si>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</si>
  <si>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best result k.</t>
  </si>
  <si>
    <t>% initial</t>
  </si>
  <si>
    <t>% VND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</si>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</sst>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2" fontId="0" fillId="0" borderId="0" xfId="0" applyNumberFormat="1"/>
    <xf numFmtId="2" fontId="0" fillId="3" borderId="0" xfId="0" applyNumberFormat="1" applyFill="1"/>
    <xf numFmtId="2" fontId="0" fillId="3" borderId="2" xfId="0" applyNumberForma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Y16" sqref="Y16"/>
    </sheetView>
  </sheetViews>
  <sheetFormatPr defaultRowHeight="14.25" x14ac:dyDescent="0.45"/>
  <cols>
    <col min="6" max="8" width="13.59765625" customWidth="1"/>
    <col min="9" max="17" width="0" hidden="1" customWidth="1"/>
    <col min="19" max="22" width="13.5976562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49</v>
      </c>
      <c r="T1" s="1" t="s">
        <v>50</v>
      </c>
      <c r="U1" s="3" t="s">
        <v>51</v>
      </c>
      <c r="V1" s="1" t="s">
        <v>52</v>
      </c>
    </row>
    <row r="2" spans="1:22" x14ac:dyDescent="0.45">
      <c r="A2" s="2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4">
        <v>626.381749097632</v>
      </c>
      <c r="H2">
        <v>12.671875</v>
      </c>
      <c r="I2">
        <v>4</v>
      </c>
      <c r="J2">
        <v>1000</v>
      </c>
      <c r="K2">
        <v>7200</v>
      </c>
      <c r="L2">
        <v>720</v>
      </c>
      <c r="M2">
        <v>2</v>
      </c>
      <c r="N2">
        <v>1</v>
      </c>
      <c r="O2">
        <v>1</v>
      </c>
      <c r="P2">
        <v>2</v>
      </c>
      <c r="Q2">
        <v>0</v>
      </c>
      <c r="S2">
        <v>524.61</v>
      </c>
      <c r="T2" s="5">
        <f>(F2*100)/$S$2-100</f>
        <v>33.421412332806398</v>
      </c>
      <c r="U2" s="6">
        <f>(G2*100)/$S2-100</f>
        <v>19.399506127910627</v>
      </c>
      <c r="V2" s="5">
        <f>T2-U2</f>
        <v>14.021906204895771</v>
      </c>
    </row>
    <row r="3" spans="1:22" x14ac:dyDescent="0.45">
      <c r="A3" s="2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4">
        <v>1620.477336481403</v>
      </c>
      <c r="H3">
        <v>66</v>
      </c>
      <c r="I3">
        <v>4</v>
      </c>
      <c r="J3">
        <v>1000</v>
      </c>
      <c r="K3">
        <v>7200</v>
      </c>
      <c r="L3">
        <v>720</v>
      </c>
      <c r="M3">
        <v>20</v>
      </c>
      <c r="N3">
        <v>1</v>
      </c>
      <c r="O3">
        <v>9</v>
      </c>
      <c r="P3">
        <v>1</v>
      </c>
      <c r="Q3">
        <v>0</v>
      </c>
      <c r="S3">
        <v>1322.87</v>
      </c>
      <c r="T3" s="5">
        <f t="shared" ref="T3:T33" si="0">(F3*100)/S3-100</f>
        <v>36.523899785071563</v>
      </c>
      <c r="U3" s="6">
        <f t="shared" ref="U3:U33" si="1">(G3*100)/$S3-100</f>
        <v>22.497096198523153</v>
      </c>
      <c r="V3" s="5">
        <f t="shared" ref="V3:V33" si="2">T3-U3</f>
        <v>14.026803586548411</v>
      </c>
    </row>
    <row r="4" spans="1:22" x14ac:dyDescent="0.45">
      <c r="A4" s="2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4">
        <v>614.8756740218621</v>
      </c>
      <c r="H4">
        <v>7.5625</v>
      </c>
      <c r="I4">
        <v>1</v>
      </c>
      <c r="J4">
        <v>1000</v>
      </c>
      <c r="K4">
        <v>7200</v>
      </c>
      <c r="L4">
        <v>720</v>
      </c>
      <c r="M4">
        <v>10</v>
      </c>
      <c r="N4">
        <v>6</v>
      </c>
      <c r="O4">
        <v>0</v>
      </c>
      <c r="P4">
        <v>0</v>
      </c>
      <c r="Q4">
        <v>0</v>
      </c>
      <c r="S4">
        <v>524.61</v>
      </c>
      <c r="T4" s="5">
        <f t="shared" si="0"/>
        <v>34.903609533394302</v>
      </c>
      <c r="U4" s="6">
        <f t="shared" si="1"/>
        <v>17.20624349933513</v>
      </c>
      <c r="V4" s="5">
        <f t="shared" si="2"/>
        <v>17.697366034059172</v>
      </c>
    </row>
    <row r="5" spans="1:22" x14ac:dyDescent="0.45">
      <c r="A5" s="2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4">
        <v>990.44548714325981</v>
      </c>
      <c r="H5">
        <v>171.03125</v>
      </c>
      <c r="I5">
        <v>4</v>
      </c>
      <c r="J5">
        <v>1000</v>
      </c>
      <c r="K5">
        <v>7200</v>
      </c>
      <c r="L5">
        <v>720</v>
      </c>
      <c r="M5">
        <v>4</v>
      </c>
      <c r="N5">
        <v>10</v>
      </c>
      <c r="O5">
        <v>16</v>
      </c>
      <c r="P5">
        <v>6</v>
      </c>
      <c r="Q5">
        <v>0</v>
      </c>
      <c r="S5">
        <v>835.43</v>
      </c>
      <c r="T5" s="5">
        <f t="shared" si="0"/>
        <v>42.628886277970167</v>
      </c>
      <c r="U5" s="6">
        <f t="shared" si="1"/>
        <v>18.555173640312162</v>
      </c>
      <c r="V5" s="5">
        <f t="shared" si="2"/>
        <v>24.073712637658005</v>
      </c>
    </row>
    <row r="6" spans="1:22" x14ac:dyDescent="0.45">
      <c r="A6" s="2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4">
        <v>2496.545833684268</v>
      </c>
      <c r="H6">
        <v>258.796875</v>
      </c>
      <c r="I6">
        <v>4</v>
      </c>
      <c r="J6">
        <v>1000</v>
      </c>
      <c r="K6">
        <v>7200</v>
      </c>
      <c r="L6">
        <v>720</v>
      </c>
      <c r="M6">
        <v>25</v>
      </c>
      <c r="N6">
        <v>4</v>
      </c>
      <c r="O6">
        <v>10</v>
      </c>
      <c r="P6">
        <v>4</v>
      </c>
      <c r="Q6">
        <v>0</v>
      </c>
      <c r="S6">
        <v>2027.99</v>
      </c>
      <c r="T6" s="5">
        <f t="shared" si="0"/>
        <v>38.21896247299577</v>
      </c>
      <c r="U6" s="6">
        <f t="shared" si="1"/>
        <v>23.104444976763588</v>
      </c>
      <c r="V6" s="5">
        <f t="shared" si="2"/>
        <v>15.114517496232182</v>
      </c>
    </row>
    <row r="7" spans="1:22" x14ac:dyDescent="0.45">
      <c r="A7" s="2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4">
        <v>1090.2565516152681</v>
      </c>
      <c r="H7">
        <v>10.59375</v>
      </c>
      <c r="I7">
        <v>1</v>
      </c>
      <c r="J7">
        <v>1000</v>
      </c>
      <c r="K7">
        <v>7200</v>
      </c>
      <c r="L7">
        <v>720</v>
      </c>
      <c r="M7">
        <v>18</v>
      </c>
      <c r="N7">
        <v>3</v>
      </c>
      <c r="O7">
        <v>0</v>
      </c>
      <c r="P7">
        <v>0</v>
      </c>
      <c r="Q7">
        <v>0</v>
      </c>
      <c r="S7">
        <v>836.37</v>
      </c>
      <c r="T7" s="5">
        <f t="shared" si="0"/>
        <v>43.804514187932739</v>
      </c>
      <c r="U7" s="6">
        <f t="shared" si="1"/>
        <v>30.355769768794687</v>
      </c>
      <c r="V7" s="5">
        <f t="shared" si="2"/>
        <v>13.448744419138052</v>
      </c>
    </row>
    <row r="8" spans="1:22" x14ac:dyDescent="0.45">
      <c r="A8" s="2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4">
        <v>925.75627457763233</v>
      </c>
      <c r="H8">
        <v>228.328125</v>
      </c>
      <c r="I8">
        <v>4</v>
      </c>
      <c r="J8">
        <v>1000</v>
      </c>
      <c r="K8">
        <v>7200</v>
      </c>
      <c r="L8">
        <v>720</v>
      </c>
      <c r="M8">
        <v>22</v>
      </c>
      <c r="N8">
        <v>11</v>
      </c>
      <c r="O8">
        <v>58</v>
      </c>
      <c r="P8">
        <v>6</v>
      </c>
      <c r="Q8">
        <v>0</v>
      </c>
      <c r="S8">
        <v>826.14</v>
      </c>
      <c r="T8" s="5">
        <f t="shared" si="0"/>
        <v>47.155716679789776</v>
      </c>
      <c r="U8" s="6">
        <f t="shared" si="1"/>
        <v>12.05803793275139</v>
      </c>
      <c r="V8" s="5">
        <f t="shared" si="2"/>
        <v>35.097678747038387</v>
      </c>
    </row>
    <row r="9" spans="1:22" x14ac:dyDescent="0.45">
      <c r="A9" s="2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4">
        <v>2613.292187862166</v>
      </c>
      <c r="H9">
        <v>122.359375</v>
      </c>
      <c r="I9">
        <v>4</v>
      </c>
      <c r="J9">
        <v>1000</v>
      </c>
      <c r="K9">
        <v>7200</v>
      </c>
      <c r="L9">
        <v>720</v>
      </c>
      <c r="M9">
        <v>26</v>
      </c>
      <c r="N9">
        <v>4</v>
      </c>
      <c r="O9">
        <v>10</v>
      </c>
      <c r="P9">
        <v>0</v>
      </c>
      <c r="Q9">
        <v>0</v>
      </c>
      <c r="S9">
        <v>2034.15</v>
      </c>
      <c r="T9" s="5">
        <f t="shared" si="0"/>
        <v>34.674642758010378</v>
      </c>
      <c r="U9" s="6">
        <f t="shared" si="1"/>
        <v>28.470967620980048</v>
      </c>
      <c r="V9" s="5">
        <f t="shared" si="2"/>
        <v>6.2036751370303307</v>
      </c>
    </row>
    <row r="10" spans="1:22" x14ac:dyDescent="0.45">
      <c r="A10" s="2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4">
        <v>935.07928623027635</v>
      </c>
      <c r="H10">
        <v>19.25</v>
      </c>
      <c r="I10">
        <v>1</v>
      </c>
      <c r="J10">
        <v>1000</v>
      </c>
      <c r="K10">
        <v>7200</v>
      </c>
      <c r="L10">
        <v>720</v>
      </c>
      <c r="M10">
        <v>99</v>
      </c>
      <c r="N10">
        <v>5</v>
      </c>
      <c r="O10">
        <v>0</v>
      </c>
      <c r="P10">
        <v>0</v>
      </c>
      <c r="Q10">
        <v>0</v>
      </c>
      <c r="S10">
        <v>826.14</v>
      </c>
      <c r="T10" s="5">
        <f t="shared" si="0"/>
        <v>46.719753353019485</v>
      </c>
      <c r="U10" s="6">
        <f t="shared" si="1"/>
        <v>13.186540565797117</v>
      </c>
      <c r="V10" s="5">
        <f t="shared" si="2"/>
        <v>33.533212787222368</v>
      </c>
    </row>
    <row r="11" spans="1:22" x14ac:dyDescent="0.45">
      <c r="A11" s="2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4">
        <v>1995.7411669494829</v>
      </c>
      <c r="H11">
        <v>243.203125</v>
      </c>
      <c r="I11">
        <v>4</v>
      </c>
      <c r="J11">
        <v>1000</v>
      </c>
      <c r="K11">
        <v>7200</v>
      </c>
      <c r="L11">
        <v>720</v>
      </c>
      <c r="M11">
        <v>87</v>
      </c>
      <c r="N11">
        <v>5</v>
      </c>
      <c r="O11">
        <v>21</v>
      </c>
      <c r="P11">
        <v>0</v>
      </c>
      <c r="Q11">
        <v>0</v>
      </c>
      <c r="S11">
        <v>1595.84</v>
      </c>
      <c r="T11" s="5">
        <f t="shared" si="0"/>
        <v>45.725262679032738</v>
      </c>
      <c r="U11" s="6">
        <f t="shared" si="1"/>
        <v>25.058976272651577</v>
      </c>
      <c r="V11" s="5">
        <f t="shared" si="2"/>
        <v>20.666286406381161</v>
      </c>
    </row>
    <row r="12" spans="1:22" x14ac:dyDescent="0.45">
      <c r="A12" s="2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4">
        <v>942.80667191831071</v>
      </c>
      <c r="H12">
        <v>743.375</v>
      </c>
      <c r="I12">
        <v>4</v>
      </c>
      <c r="J12">
        <v>1000</v>
      </c>
      <c r="K12">
        <v>7200</v>
      </c>
      <c r="L12">
        <v>720</v>
      </c>
      <c r="M12">
        <v>149</v>
      </c>
      <c r="N12">
        <v>15</v>
      </c>
      <c r="O12">
        <v>35</v>
      </c>
      <c r="P12">
        <v>4</v>
      </c>
      <c r="Q12">
        <v>0</v>
      </c>
      <c r="S12">
        <v>779.29</v>
      </c>
      <c r="T12" s="5">
        <f t="shared" si="0"/>
        <v>47.549014909544866</v>
      </c>
      <c r="U12" s="6">
        <f t="shared" si="1"/>
        <v>20.982775592951384</v>
      </c>
      <c r="V12" s="5">
        <f t="shared" si="2"/>
        <v>26.566239316593482</v>
      </c>
    </row>
    <row r="13" spans="1:22" x14ac:dyDescent="0.45">
      <c r="A13" s="2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4">
        <v>1475.958682112818</v>
      </c>
      <c r="H13">
        <v>1292.421875</v>
      </c>
      <c r="I13">
        <v>4</v>
      </c>
      <c r="J13">
        <v>1000</v>
      </c>
      <c r="K13">
        <v>7200</v>
      </c>
      <c r="L13">
        <v>720</v>
      </c>
      <c r="M13">
        <v>205</v>
      </c>
      <c r="N13">
        <v>22</v>
      </c>
      <c r="O13">
        <v>94</v>
      </c>
      <c r="P13">
        <v>5</v>
      </c>
      <c r="Q13">
        <v>0</v>
      </c>
      <c r="S13">
        <v>1195.8800000000001</v>
      </c>
      <c r="T13" s="5">
        <f t="shared" si="0"/>
        <v>46.057768218552695</v>
      </c>
      <c r="U13" s="6">
        <f t="shared" si="1"/>
        <v>23.420299872296383</v>
      </c>
      <c r="V13" s="5">
        <f t="shared" si="2"/>
        <v>22.637468346256313</v>
      </c>
    </row>
    <row r="14" spans="1:22" ht="14.65" thickBot="1" x14ac:dyDescent="0.5">
      <c r="A14" s="2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4">
        <v>5592.2468963564752</v>
      </c>
      <c r="H14">
        <v>7230.734375</v>
      </c>
      <c r="I14">
        <v>4</v>
      </c>
      <c r="J14">
        <v>1000</v>
      </c>
      <c r="K14">
        <v>7200</v>
      </c>
      <c r="L14">
        <v>720</v>
      </c>
      <c r="M14">
        <v>95</v>
      </c>
      <c r="N14">
        <v>35</v>
      </c>
      <c r="O14">
        <v>1</v>
      </c>
      <c r="P14">
        <v>0</v>
      </c>
      <c r="Q14">
        <v>0</v>
      </c>
      <c r="S14">
        <v>3511.62</v>
      </c>
      <c r="T14" s="5">
        <f t="shared" si="0"/>
        <v>80.376301914549259</v>
      </c>
      <c r="U14" s="6">
        <f t="shared" si="1"/>
        <v>59.249773505005521</v>
      </c>
      <c r="V14" s="5">
        <f t="shared" si="2"/>
        <v>21.126528409543738</v>
      </c>
    </row>
    <row r="15" spans="1:22" ht="14.65" thickBot="1" x14ac:dyDescent="0.5">
      <c r="A15" s="2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4">
        <v>954.80711889752502</v>
      </c>
      <c r="H15">
        <v>6.46875</v>
      </c>
      <c r="I15">
        <v>4</v>
      </c>
      <c r="J15">
        <v>1000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5">
        <f t="shared" si="0"/>
        <v>-3.0174615629618984E-4</v>
      </c>
      <c r="U15" s="7">
        <f t="shared" si="1"/>
        <v>-3.0174615629618984E-4</v>
      </c>
      <c r="V15" s="8">
        <f t="shared" si="2"/>
        <v>0</v>
      </c>
    </row>
    <row r="16" spans="1:22" ht="14.65" thickBot="1" x14ac:dyDescent="0.5">
      <c r="A16" s="2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4">
        <v>1899.885733385785</v>
      </c>
      <c r="H16">
        <v>5.828125</v>
      </c>
      <c r="I16">
        <v>4</v>
      </c>
      <c r="J16">
        <v>1000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5">
        <f t="shared" si="0"/>
        <v>2.0001682237365941</v>
      </c>
      <c r="U16" s="7">
        <f t="shared" si="1"/>
        <v>2.0001682237365941</v>
      </c>
      <c r="V16" s="8">
        <f t="shared" si="2"/>
        <v>0</v>
      </c>
    </row>
    <row r="17" spans="1:22" ht="14.65" thickBot="1" x14ac:dyDescent="0.5">
      <c r="A17" s="2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4">
        <v>3179.0510337214159</v>
      </c>
      <c r="H17">
        <v>10.5625</v>
      </c>
      <c r="I17">
        <v>4</v>
      </c>
      <c r="J17">
        <v>1000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5">
        <f t="shared" si="0"/>
        <v>11.334932913795171</v>
      </c>
      <c r="U17" s="6">
        <f t="shared" si="1"/>
        <v>10.566458233796695</v>
      </c>
      <c r="V17" s="5">
        <f t="shared" si="2"/>
        <v>0.76847467999847652</v>
      </c>
    </row>
    <row r="18" spans="1:22" ht="14.65" thickBot="1" x14ac:dyDescent="0.5">
      <c r="A18" s="2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4">
        <v>1703.872161915519</v>
      </c>
      <c r="H18">
        <v>6.890625</v>
      </c>
      <c r="I18">
        <v>4</v>
      </c>
      <c r="J18">
        <v>1000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5">
        <f t="shared" si="0"/>
        <v>6.6419753976228577</v>
      </c>
      <c r="U18" s="6">
        <f t="shared" si="1"/>
        <v>6.6419753976228577</v>
      </c>
      <c r="V18" s="8">
        <f t="shared" si="2"/>
        <v>0</v>
      </c>
    </row>
    <row r="19" spans="1:22" ht="14.65" thickBot="1" x14ac:dyDescent="0.5">
      <c r="A19" s="2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4">
        <v>3217.167440359513</v>
      </c>
      <c r="H19">
        <v>5.984375</v>
      </c>
      <c r="I19">
        <v>4</v>
      </c>
      <c r="J19">
        <v>1000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5">
        <f t="shared" si="0"/>
        <v>2.2218655189789445</v>
      </c>
      <c r="U19" s="7">
        <f t="shared" si="1"/>
        <v>2.2218655189789445</v>
      </c>
      <c r="V19" s="8">
        <f t="shared" si="2"/>
        <v>0</v>
      </c>
    </row>
    <row r="20" spans="1:22" ht="14.65" thickBot="1" x14ac:dyDescent="0.5">
      <c r="A20" s="2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4">
        <v>4855.7678865271791</v>
      </c>
      <c r="H20">
        <v>7.984375</v>
      </c>
      <c r="I20">
        <v>4</v>
      </c>
      <c r="J20">
        <v>1000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5">
        <f t="shared" si="0"/>
        <v>0.44324326644751011</v>
      </c>
      <c r="U20" s="7">
        <f t="shared" si="1"/>
        <v>0.44324326644751011</v>
      </c>
      <c r="V20" s="8">
        <f t="shared" si="2"/>
        <v>0</v>
      </c>
    </row>
    <row r="21" spans="1:22" ht="14.65" thickBot="1" x14ac:dyDescent="0.5">
      <c r="A21" s="2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4">
        <v>9441.6174868667931</v>
      </c>
      <c r="H21">
        <v>12.984375</v>
      </c>
      <c r="I21">
        <v>4</v>
      </c>
      <c r="J21">
        <v>1000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5">
        <f t="shared" si="0"/>
        <v>12.838127576867279</v>
      </c>
      <c r="U21" s="6">
        <f t="shared" si="1"/>
        <v>12.838127576867279</v>
      </c>
      <c r="V21" s="8">
        <f t="shared" si="2"/>
        <v>0</v>
      </c>
    </row>
    <row r="22" spans="1:22" ht="14.65" thickBot="1" x14ac:dyDescent="0.5">
      <c r="A22" s="2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4">
        <v>2476.4553897065998</v>
      </c>
      <c r="H22">
        <v>9.53125</v>
      </c>
      <c r="I22">
        <v>4</v>
      </c>
      <c r="J22">
        <v>1000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5">
        <f t="shared" si="0"/>
        <v>13.38873783019541</v>
      </c>
      <c r="U22" s="6">
        <f t="shared" si="1"/>
        <v>13.38873783019541</v>
      </c>
      <c r="V22" s="8">
        <f t="shared" si="2"/>
        <v>0</v>
      </c>
    </row>
    <row r="23" spans="1:22" ht="14.65" thickBot="1" x14ac:dyDescent="0.5">
      <c r="A23" s="2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4">
        <v>4608.9469410204683</v>
      </c>
      <c r="H23">
        <v>9.53125</v>
      </c>
      <c r="I23">
        <v>4</v>
      </c>
      <c r="J23">
        <v>1000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5">
        <f t="shared" si="0"/>
        <v>7.9098159733762117</v>
      </c>
      <c r="U23" s="6">
        <f t="shared" si="1"/>
        <v>7.9098159733762117</v>
      </c>
      <c r="V23" s="8">
        <f t="shared" si="2"/>
        <v>0</v>
      </c>
    </row>
    <row r="24" spans="1:22" ht="14.65" thickBot="1" x14ac:dyDescent="0.5">
      <c r="A24" s="2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4">
        <v>6836.8705930980686</v>
      </c>
      <c r="H24">
        <v>10.515625</v>
      </c>
      <c r="I24">
        <v>4</v>
      </c>
      <c r="J24">
        <v>1000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5">
        <f t="shared" si="0"/>
        <v>3.5483135117896012</v>
      </c>
      <c r="U24" s="7">
        <f t="shared" si="1"/>
        <v>3.5483135117896012</v>
      </c>
      <c r="V24" s="8">
        <f t="shared" si="2"/>
        <v>0</v>
      </c>
    </row>
    <row r="25" spans="1:22" x14ac:dyDescent="0.45">
      <c r="A25" s="2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4">
        <v>4351.6996370629276</v>
      </c>
      <c r="H25">
        <v>132.34375</v>
      </c>
      <c r="I25">
        <v>4</v>
      </c>
      <c r="J25">
        <v>1000</v>
      </c>
      <c r="K25">
        <v>7200</v>
      </c>
      <c r="L25">
        <v>720</v>
      </c>
      <c r="M25">
        <v>41</v>
      </c>
      <c r="N25">
        <v>11</v>
      </c>
      <c r="O25">
        <v>13</v>
      </c>
      <c r="P25">
        <v>2</v>
      </c>
      <c r="Q25">
        <v>0</v>
      </c>
      <c r="S25">
        <v>3687.46</v>
      </c>
      <c r="T25" s="5">
        <f t="shared" si="0"/>
        <v>38.542844102855923</v>
      </c>
      <c r="U25" s="6">
        <f t="shared" si="1"/>
        <v>18.013473693624547</v>
      </c>
      <c r="V25" s="5">
        <f t="shared" si="2"/>
        <v>20.529370409231376</v>
      </c>
    </row>
    <row r="26" spans="1:22" x14ac:dyDescent="0.45">
      <c r="A26" s="2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4">
        <v>4366.5898539094696</v>
      </c>
      <c r="H26">
        <v>113.6875</v>
      </c>
      <c r="I26">
        <v>4</v>
      </c>
      <c r="J26">
        <v>1000</v>
      </c>
      <c r="K26">
        <v>7200</v>
      </c>
      <c r="L26">
        <v>720</v>
      </c>
      <c r="M26">
        <v>45</v>
      </c>
      <c r="N26">
        <v>7</v>
      </c>
      <c r="O26">
        <v>12</v>
      </c>
      <c r="P26">
        <v>1</v>
      </c>
      <c r="Q26">
        <v>0</v>
      </c>
      <c r="S26">
        <v>3777.15</v>
      </c>
      <c r="T26" s="5">
        <f t="shared" si="0"/>
        <v>35.253086564080604</v>
      </c>
      <c r="U26" s="6">
        <f t="shared" si="1"/>
        <v>15.605412914749735</v>
      </c>
      <c r="V26" s="5">
        <f t="shared" si="2"/>
        <v>19.647673649330869</v>
      </c>
    </row>
    <row r="27" spans="1:22" x14ac:dyDescent="0.45">
      <c r="A27" s="2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4">
        <v>4361.2928744490191</v>
      </c>
      <c r="H27">
        <v>124.875</v>
      </c>
      <c r="I27">
        <v>4</v>
      </c>
      <c r="J27">
        <v>1000</v>
      </c>
      <c r="K27">
        <v>7200</v>
      </c>
      <c r="L27">
        <v>720</v>
      </c>
      <c r="M27">
        <v>33</v>
      </c>
      <c r="N27">
        <v>12</v>
      </c>
      <c r="O27">
        <v>10</v>
      </c>
      <c r="P27">
        <v>1</v>
      </c>
      <c r="Q27">
        <v>0</v>
      </c>
      <c r="S27">
        <v>3795.33</v>
      </c>
      <c r="T27" s="5">
        <f t="shared" si="0"/>
        <v>34.257103934548013</v>
      </c>
      <c r="U27" s="6">
        <f t="shared" si="1"/>
        <v>14.912086022796942</v>
      </c>
      <c r="V27" s="5">
        <f t="shared" si="2"/>
        <v>19.345017911751071</v>
      </c>
    </row>
    <row r="28" spans="1:22" x14ac:dyDescent="0.45">
      <c r="A28" s="2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4">
        <v>27916.90684533845</v>
      </c>
      <c r="H28">
        <v>857.015625</v>
      </c>
      <c r="I28">
        <v>4</v>
      </c>
      <c r="J28">
        <v>1000</v>
      </c>
      <c r="K28">
        <v>7200</v>
      </c>
      <c r="L28">
        <v>720</v>
      </c>
      <c r="M28">
        <v>105</v>
      </c>
      <c r="N28">
        <v>16</v>
      </c>
      <c r="O28">
        <v>39</v>
      </c>
      <c r="P28">
        <v>1</v>
      </c>
      <c r="Q28">
        <v>0</v>
      </c>
      <c r="S28">
        <v>21956.46</v>
      </c>
      <c r="T28" s="5">
        <f t="shared" si="0"/>
        <v>53.916490535773249</v>
      </c>
      <c r="U28" s="6">
        <f t="shared" si="1"/>
        <v>27.146665925829808</v>
      </c>
      <c r="V28" s="5">
        <f t="shared" si="2"/>
        <v>26.769824609943441</v>
      </c>
    </row>
    <row r="29" spans="1:22" x14ac:dyDescent="0.45">
      <c r="A29" s="2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4">
        <v>28577.123524401501</v>
      </c>
      <c r="H29">
        <v>917.6875</v>
      </c>
      <c r="I29">
        <v>4</v>
      </c>
      <c r="J29">
        <v>1000</v>
      </c>
      <c r="K29">
        <v>7200</v>
      </c>
      <c r="L29">
        <v>720</v>
      </c>
      <c r="M29">
        <v>110</v>
      </c>
      <c r="N29">
        <v>17</v>
      </c>
      <c r="O29">
        <v>34</v>
      </c>
      <c r="P29">
        <v>4</v>
      </c>
      <c r="Q29">
        <v>0</v>
      </c>
      <c r="S29">
        <v>22934.71</v>
      </c>
      <c r="T29" s="5">
        <f t="shared" si="0"/>
        <v>47.351384333574913</v>
      </c>
      <c r="U29" s="6">
        <f t="shared" si="1"/>
        <v>24.602070505367195</v>
      </c>
      <c r="V29" s="5">
        <f t="shared" si="2"/>
        <v>22.749313828207718</v>
      </c>
    </row>
    <row r="30" spans="1:22" x14ac:dyDescent="0.45">
      <c r="A30" s="2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4">
        <v>29650.47309950606</v>
      </c>
      <c r="H30">
        <v>831.34375</v>
      </c>
      <c r="I30">
        <v>4</v>
      </c>
      <c r="J30">
        <v>1000</v>
      </c>
      <c r="K30">
        <v>7200</v>
      </c>
      <c r="L30">
        <v>720</v>
      </c>
      <c r="M30">
        <v>64</v>
      </c>
      <c r="N30">
        <v>40</v>
      </c>
      <c r="O30">
        <v>29</v>
      </c>
      <c r="P30">
        <v>0</v>
      </c>
      <c r="Q30">
        <v>0</v>
      </c>
      <c r="S30">
        <v>22909.360000000001</v>
      </c>
      <c r="T30" s="5">
        <f t="shared" si="0"/>
        <v>49.031898243534954</v>
      </c>
      <c r="U30" s="6">
        <f t="shared" si="1"/>
        <v>29.425148059596864</v>
      </c>
      <c r="V30" s="5">
        <f t="shared" si="2"/>
        <v>19.60675018393809</v>
      </c>
    </row>
    <row r="31" spans="1:22" x14ac:dyDescent="0.45">
      <c r="A31" s="2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4">
        <v>97228.168092197084</v>
      </c>
      <c r="H31">
        <v>5718.796875</v>
      </c>
      <c r="I31">
        <v>4</v>
      </c>
      <c r="J31">
        <v>1000</v>
      </c>
      <c r="K31">
        <v>7200</v>
      </c>
      <c r="L31">
        <v>720</v>
      </c>
      <c r="M31">
        <v>159</v>
      </c>
      <c r="N31">
        <v>50</v>
      </c>
      <c r="O31">
        <v>72</v>
      </c>
      <c r="P31">
        <v>5</v>
      </c>
      <c r="Q31">
        <v>0</v>
      </c>
      <c r="S31">
        <v>75016.58</v>
      </c>
      <c r="T31" s="5">
        <f t="shared" si="0"/>
        <v>67.438417271665799</v>
      </c>
      <c r="U31" s="6">
        <f t="shared" si="1"/>
        <v>29.608905247609385</v>
      </c>
      <c r="V31" s="5">
        <f t="shared" si="2"/>
        <v>37.829512024056413</v>
      </c>
    </row>
    <row r="32" spans="1:22" x14ac:dyDescent="0.45">
      <c r="A32" s="2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4">
        <v>104937.2461017334</v>
      </c>
      <c r="H32">
        <v>4086.9375</v>
      </c>
      <c r="I32">
        <v>4</v>
      </c>
      <c r="J32">
        <v>1000</v>
      </c>
      <c r="K32">
        <v>7200</v>
      </c>
      <c r="L32">
        <v>720</v>
      </c>
      <c r="M32">
        <v>144</v>
      </c>
      <c r="N32">
        <v>34</v>
      </c>
      <c r="O32">
        <v>56</v>
      </c>
      <c r="P32">
        <v>1</v>
      </c>
      <c r="Q32">
        <v>0</v>
      </c>
      <c r="S32">
        <v>78179.89</v>
      </c>
      <c r="T32" s="5">
        <f t="shared" si="0"/>
        <v>63.258964455792125</v>
      </c>
      <c r="U32" s="6">
        <f t="shared" si="1"/>
        <v>34.225369339523752</v>
      </c>
      <c r="V32" s="5">
        <f t="shared" si="2"/>
        <v>29.033595116268373</v>
      </c>
    </row>
    <row r="33" spans="1:22" x14ac:dyDescent="0.45">
      <c r="A33" s="2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4">
        <v>100476.24348211809</v>
      </c>
      <c r="H33">
        <v>5699.96875</v>
      </c>
      <c r="I33">
        <v>4</v>
      </c>
      <c r="J33">
        <v>1000</v>
      </c>
      <c r="K33">
        <v>7200</v>
      </c>
      <c r="L33">
        <v>720</v>
      </c>
      <c r="M33">
        <v>145</v>
      </c>
      <c r="N33">
        <v>47</v>
      </c>
      <c r="O33">
        <v>68</v>
      </c>
      <c r="P33">
        <v>6</v>
      </c>
      <c r="Q33">
        <v>0</v>
      </c>
      <c r="S33">
        <v>80479.199999999997</v>
      </c>
      <c r="T33" s="5">
        <f t="shared" si="0"/>
        <v>57.00196666049041</v>
      </c>
      <c r="U33" s="6">
        <f t="shared" si="1"/>
        <v>24.847468019212542</v>
      </c>
      <c r="V33" s="5">
        <f t="shared" si="2"/>
        <v>32.154498641277868</v>
      </c>
    </row>
    <row r="35" spans="1:22" x14ac:dyDescent="0.45">
      <c r="T35" s="5">
        <f>SUM(T2:T33)/32</f>
        <v>33.879336864738725</v>
      </c>
      <c r="U35" s="6">
        <f>SUM(U2:U33)/32</f>
        <v>18.484081534032448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2025-06-30T09:18:44Z</dcterms:created>
  <dcterms:modified xsi:type="dcterms:W3CDTF">2025-06-30T09:37:26Z</dcterms:modified>
</cp:coreProperties>
</file>